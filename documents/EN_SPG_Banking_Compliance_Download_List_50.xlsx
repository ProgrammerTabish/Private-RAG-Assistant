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wnload 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<sst xmlns="http://schemas.openxmlformats.org/spreadsheetml/2006/main" count="640" uniqueCount="324">
  <si>
    <t xml:space="preserve">Download list: 50 documents for the banking corpus</t>
  </si>
  <si>
    <t xml:space="preserve">SPG Innovation Challenge, Landau an der Isar, Oct 8-9, 2026 | Research as of Sep 24, 2026</t>
  </si>
  <si>
    <t xml:space="preserve">Count</t>
  </si>
  <si>
    <t xml:space="preserve">Saved</t>
  </si>
  <si>
    <t xml:space="preserve">Still open</t>
  </si>
  <si>
    <t xml:space="preserve">Direct PDF</t>
  </si>
  <si>
    <t xml:space="preserve">20 core documents at priority 1. All 50 rows are needed for the complete corpus.</t>
  </si>
  <si>
    <t xml:space="preserve">Start: filter by Prio 1, open the links, save the PDF under the suggested file name. Add status and the saved version on the right.</t>
  </si>
  <si>
    <t xml:space="preserve">EUR-Lex: pick the latest consolidated version, German &gt; PDF. Use final versions. Count only one language and one version per document.</t>
  </si>
  <si>
    <t xml:space="preserve">Link check is in column O. Not every PDF could be retrieved automatically. Note the version and application hints; re-check the status before the Challenge.</t>
  </si>
  <si>
    <t xml:space="preserve">No.</t>
  </si>
  <si>
    <t xml:space="preserve">Status</t>
  </si>
  <si>
    <t xml:space="preserve">Prio</t>
  </si>
  <si>
    <t xml:space="preserve">Topic</t>
  </si>
  <si>
    <t xml:space="preserve">Document</t>
  </si>
  <si>
    <t xml:space="preserve">Open</t>
  </si>
  <si>
    <t xml:space="preserve">Link type</t>
  </si>
  <si>
    <t xml:space="preserve">Language</t>
  </si>
  <si>
    <t xml:space="preserve">Version / download note</t>
  </si>
  <si>
    <t xml:space="preserve">File name</t>
  </si>
  <si>
    <t xml:space="preserve">Publisher</t>
  </si>
  <si>
    <t xml:space="preserve">Reference / version</t>
  </si>
  <si>
    <t xml:space="preserve">Source URL</t>
  </si>
  <si>
    <t xml:space="preserve">Fallback link</t>
  </si>
  <si>
    <t xml:space="preserve">Link check</t>
  </si>
  <si>
    <t xml:space="preserve">Saved version</t>
  </si>
  <si>
    <t xml:space="preserve">1 - Core</t>
  </si>
  <si>
    <t xml:space="preserve">Money laundering / KYC</t>
  </si>
  <si>
    <t xml:space="preserve">Money Laundering Act (GwG)</t>
  </si>
  <si>
    <t xml:space="preserve">Download page</t>
  </si>
  <si>
    <t xml:space="preserve">DE</t>
  </si>
  <si>
    <t xml:space="preserve">Download the full edition as a PDF at the top. Especially sections 3-17 and 43-47.</t>
  </si>
  <si>
    <t xml:space="preserve">01_GwG.pdf</t>
  </si>
  <si>
    <t xml:space="preserve">German federal legislator</t>
  </si>
  <si>
    <t xml:space="preserve">GwG</t>
  </si>
  <si>
    <t xml:space="preserve">https://www.gesetze-im-internet.de/gwg_2017/index.html</t>
  </si>
  <si>
    <t xml:space="preserve">Download page opened; PDF retrieval timed out</t>
  </si>
  <si>
    <t xml:space="preserve">BaFin interpretation and application guidance on the GwG, General Part</t>
  </si>
  <si>
    <t xml:space="preserve">Choose the current clean version from the download page; not a change or consultation version.</t>
  </si>
  <si>
    <t xml:space="preserve">02_BaFin_AuA_AT.pdf</t>
  </si>
  <si>
    <t xml:space="preserve">BaFin</t>
  </si>
  <si>
    <t xml:space="preserve">AuA AT</t>
  </si>
  <si>
    <t xml:space="preserve">https://www.bafin.de/SharedDocs/Downloads/DE/Auslegungsentscheidung/dl-ae-auas-2025-gw.html</t>
  </si>
  <si>
    <t xml:space="preserve">Found in the official search index; automatic retrieval blocked</t>
  </si>
  <si>
    <t xml:space="preserve">BaFin interpretation and application guidance, Special Part for credit institutions</t>
  </si>
  <si>
    <t xml:space="preserve">Check the title and version on the cover page; bank-specific addition to the General Part.</t>
  </si>
  <si>
    <t xml:space="preserve">03_BaFin_AuA_BT_Kreditinstitute.pdf</t>
  </si>
  <si>
    <t xml:space="preserve">AuA BT KI</t>
  </si>
  <si>
    <t xml:space="preserve">https://www.bafin.de/SharedDocs/Downloads/DE/Auslegungsentscheidung/dl_ae_aua_bt_ki_gw.pdf?__blob=publicationFile&amp;v=2</t>
  </si>
  <si>
    <t xml:space="preserve">Guidelines on money laundering and terrorist financing risk factors</t>
  </si>
  <si>
    <t xml:space="preserve">DE / EN</t>
  </si>
  <si>
    <t xml:space="preserve">Select the latest consolidated document, not just the 2024 amendment. Legacy EBA item: check whether AMLA replaces it.</t>
  </si>
  <si>
    <t xml:space="preserve">04_EBA_Risikofaktoren.pdf</t>
  </si>
  <si>
    <t xml:space="preserve">EBA</t>
  </si>
  <si>
    <t xml:space="preserve">EBA/GL/2021/02, as amended</t>
  </si>
  <si>
    <t xml:space="preserve">https://eba.europa.eu/legacy/regulation-and-policy/regulatory-activities/anti-money-laundering-and-countering-financing-1?version=2024</t>
  </si>
  <si>
    <t xml:space="preserve">Official search index; automatic retrieval blocked</t>
  </si>
  <si>
    <t xml:space="preserve">Guidelines on the role and responsibilities of the AML/CFT compliance officer</t>
  </si>
  <si>
    <t xml:space="preserve">Under Translations choose the German guidelines. Do not download the compliance table.</t>
  </si>
  <si>
    <t xml:space="preserve">05_EBA_AML_Compliance_Officer.pdf</t>
  </si>
  <si>
    <t xml:space="preserve">EBA/GL/2022/05</t>
  </si>
  <si>
    <t xml:space="preserve">https://www.eba.europa.eu/activities/single-rulebook/regulatory-activities/anti-money-laundering-and-countering-financing-1</t>
  </si>
  <si>
    <t xml:space="preserve">Guidelines on the use of remote customer onboarding solutions</t>
  </si>
  <si>
    <t xml:space="preserve">Under Translations: de German. Final version, not a consultation paper.</t>
  </si>
  <si>
    <t xml:space="preserve">06_EBA_Remote_Onboarding.pdf</t>
  </si>
  <si>
    <t xml:space="preserve">EBA/GL/2022/15</t>
  </si>
  <si>
    <t xml:space="preserve">https://eba.europa.eu/legacy/regulation-and-policy/regulatory-activities/anti-money-laundering-and-countering-financing-4</t>
  </si>
  <si>
    <t xml:space="preserve">German translation confirmed in the official search index</t>
  </si>
  <si>
    <t xml:space="preserve">2 - Additional</t>
  </si>
  <si>
    <t xml:space="preserve">Guidelines on managing ML/TF risks when providing access to financial services</t>
  </si>
  <si>
    <t xml:space="preserve">EN</t>
  </si>
  <si>
    <t xml:space="preserve">Final report including the guidelines. Focus on de-risking and access to banking services.</t>
  </si>
  <si>
    <t xml:space="preserve">07_EBA_De_Risking.pdf</t>
  </si>
  <si>
    <t xml:space="preserve">EBA/GL/2023/04</t>
  </si>
  <si>
    <t xml:space="preserve">https://www.eba.europa.eu/sites/default/files/document_library/Publications/Guidelines/2023/1054144/Guidelines%20on%20MLTF%20risk%20management%20and%20access%20to%20financial%20services.pdf</t>
  </si>
  <si>
    <t xml:space="preserve">PDF confirmed in the official search index</t>
  </si>
  <si>
    <t xml:space="preserve">Travel Rule guidelines: information on transfers of funds and crypto-assets</t>
  </si>
  <si>
    <t xml:space="preserve">Use together with Regulation 2023/1113. For banks the funds-transfer rules are the relevant part.</t>
  </si>
  <si>
    <t xml:space="preserve">08_EBA_Travel_Rule.pdf</t>
  </si>
  <si>
    <t xml:space="preserve">EBA/GL/2024/11</t>
  </si>
  <si>
    <t xml:space="preserve">https://www.eba.europa.eu/sites/default/files/2024-07/6de6e9b9-0ed9-49cd-985d-c0834b5b4356/Travel%20Rule%20Guidelines.pdf</t>
  </si>
  <si>
    <t xml:space="preserve">Transfer of Funds Regulation</t>
  </si>
  <si>
    <t xml:space="preserve">EUR-Lex</t>
  </si>
  <si>
    <t xml:space="preserve">Select the latest consolidated version, then German &gt; PDF. If no consolidation is offered: check the Official Journal version including corrigenda.</t>
  </si>
  <si>
    <t xml:space="preserve">09_EU_Geldtransfer_2023_1113.pdf</t>
  </si>
  <si>
    <t xml:space="preserve">EU</t>
  </si>
  <si>
    <t xml:space="preserve">Regulation (EU) 2023/1113</t>
  </si>
  <si>
    <t xml:space="preserve">https://eur-lex.europa.eu/legal-content/DE/TXT/?uri=CELEX:32023R1113</t>
  </si>
  <si>
    <t xml:space="preserve">Official search index; browser check on retrieval</t>
  </si>
  <si>
    <t xml:space="preserve">Guidance on the promptness and completeness of suspicious activity reports</t>
  </si>
  <si>
    <t xml:space="preserve">Updated guidance. Carry over the version date from the PDF.</t>
  </si>
  <si>
    <t xml:space="preserve">10_BaFin_FIU_Verdachtsmeldungen.pdf</t>
  </si>
  <si>
    <t xml:space="preserve">BaFin / FIU</t>
  </si>
  <si>
    <t xml:space="preserve">Section 43 GwG</t>
  </si>
  <si>
    <t xml:space="preserve">https://www.bafin.de/SharedDocs/Downloads/DE/Aufsichtsrecht/dl_orientierungshilfe_verdachtsmeldung_gw.pdf?__blob=publicationFile&amp;v=3</t>
  </si>
  <si>
    <t xml:space="preserve">PDF in the official search index; retrieval blocked</t>
  </si>
  <si>
    <t xml:space="preserve">Circular on the video identification procedure</t>
  </si>
  <si>
    <t xml:space="preserve">HTML / Drucken</t>
  </si>
  <si>
    <t xml:space="preserve">Open the official full text. Use the PDF download if offered; otherwise Print &gt; Save as PDF.</t>
  </si>
  <si>
    <t xml:space="preserve">11_BaFin_Videoident.pdf</t>
  </si>
  <si>
    <t xml:space="preserve">Circular 3/2017 (GW)</t>
  </si>
  <si>
    <t xml:space="preserve">https://www.bafin.de/SharedDocs/Veroeffentlichungen/DE/Rundschreiben/2017/rs_1703_gw_videoident.html</t>
  </si>
  <si>
    <t xml:space="preserve">Third countries with high money laundering and terrorist financing risk</t>
  </si>
  <si>
    <t xml:space="preserve">Be sure to pick the latest consolidated country list. The original 2016 list is out of date.</t>
  </si>
  <si>
    <t xml:space="preserve">12_EU_Hochrisikodrittstaaten.pdf</t>
  </si>
  <si>
    <t xml:space="preserve">European Commission</t>
  </si>
  <si>
    <t xml:space="preserve">Delegated Regulation (EU) 2016/1675</t>
  </si>
  <si>
    <t xml:space="preserve">https://eur-lex.europa.eu/legal-content/DE/TXT/?uri=CELEX:32016R1675</t>
  </si>
  <si>
    <t xml:space="preserve">Document page opened</t>
  </si>
  <si>
    <t xml:space="preserve">Sanctions</t>
  </si>
  <si>
    <t xml:space="preserve">Frequently asked questions on financial sanctions</t>
  </si>
  <si>
    <t xml:space="preserve">37 pages. Practical cases on freezing, the prohibition on making funds available, ownership and control.</t>
  </si>
  <si>
    <t xml:space="preserve">13_Bundesbank_Finanzsanktionen_FAQ.pdf</t>
  </si>
  <si>
    <t xml:space="preserve">Deutsche Bundesbank</t>
  </si>
  <si>
    <t xml:space="preserve">As of June 2026</t>
  </si>
  <si>
    <t xml:space="preserve">https://www.bundesbank.de/resource/blob/886614/4355fc5861c5d6817567b440e737fad1/472B63F073F071307366337C94F8C870/faq-finanzsanktionen-data.pdf</t>
  </si>
  <si>
    <t xml:space="preserve">https://www.bundesbank.de/de/startseite/haeufig-gestellte-fragen-zum-thema-finanzsanktionen-886614</t>
  </si>
  <si>
    <t xml:space="preserve">PDF opened</t>
  </si>
  <si>
    <t xml:space="preserve">EU financial sanctions over actions against the territorial integrity of Ukraine</t>
  </si>
  <si>
    <t xml:space="preserve">Select the latest consolidated version including annexes. The lists of persons change frequently.</t>
  </si>
  <si>
    <t xml:space="preserve">14_EU_Sanktionen_269_2014.pdf</t>
  </si>
  <si>
    <t xml:space="preserve">Council of the EU</t>
  </si>
  <si>
    <t xml:space="preserve">Regulation (EU) No 269/2014</t>
  </si>
  <si>
    <t xml:space="preserve">https://eur-lex.europa.eu/legal-content/DE/TXT/?uri=CELEX:32014R0269</t>
  </si>
  <si>
    <t xml:space="preserve">https://www.bundesbank.de/de/service/finanzsanktionen/sanktionsregimes/-/russland-ukraine-610842</t>
  </si>
  <si>
    <t xml:space="preserve">Document URL opened; browser check</t>
  </si>
  <si>
    <t xml:space="preserve">EU sanctions in view of Russia's actions</t>
  </si>
  <si>
    <t xml:space="preserve">Select the latest consolidated version including annexes; the original 2014 version is not enough.</t>
  </si>
  <si>
    <t xml:space="preserve">15_EU_Sanktionen_833_2014.pdf</t>
  </si>
  <si>
    <t xml:space="preserve">Regulation (EU) No 833/2014</t>
  </si>
  <si>
    <t xml:space="preserve">https://eur-lex.europa.eu/legal-content/DE/TXT/?uri=CELEX:32014R0833</t>
  </si>
  <si>
    <t xml:space="preserve">EU sanctions against Belarus</t>
  </si>
  <si>
    <t xml:space="preserve">Select the latest consolidated version including annexes. Do not save the original version.</t>
  </si>
  <si>
    <t xml:space="preserve">16_EU_Sanktionen_Belarus.pdf</t>
  </si>
  <si>
    <t xml:space="preserve">Regulation (EC) No 765/2006</t>
  </si>
  <si>
    <t xml:space="preserve">https://eur-lex.europa.eu/legal-content/DE/TXT/?uri=CELEX:32006R0765</t>
  </si>
  <si>
    <t xml:space="preserve">https://www.bundesbank.de/de/service/finanzsanktionen/sanktionsregimes</t>
  </si>
  <si>
    <t xml:space="preserve">Guidelines on the implementation of restrictive measures, joint final report</t>
  </si>
  <si>
    <t xml:space="preserve">Both sets of guidelines are in ONE PDF and count here as ONE document. Applicable since Dec 30, 2025.</t>
  </si>
  <si>
    <t xml:space="preserve">17_EBA_Sanktionsleitlinien.pdf</t>
  </si>
  <si>
    <t xml:space="preserve">EBA/GL/2024/14 and EBA/GL/2024/15</t>
  </si>
  <si>
    <t xml:space="preserve">https://www.eba.europa.eu/sites/default/files/2024-11/eaeae49d-81a5-4154-8af9-5014f6ee8881/Final%20Report%20Guidelines%20restrictive%20measures%20.pdf</t>
  </si>
  <si>
    <t xml:space="preserve">Consolidated FAQs on sanctions against Russia and Belarus</t>
  </si>
  <si>
    <t xml:space="preserve">Under Files, load the complete FAQ PDF. Count as one document despite the many chapters.</t>
  </si>
  <si>
    <t xml:space="preserve">18_EU_Kommission_Sanktions_FAQ.pdf</t>
  </si>
  <si>
    <t xml:space="preserve">As of Aug 24, 2026</t>
  </si>
  <si>
    <t xml:space="preserve">https://finance.ec.europa.eu/publications/consolidated-version_en</t>
  </si>
  <si>
    <t xml:space="preserve">Download page opened</t>
  </si>
  <si>
    <t xml:space="preserve">Foreign Trade and Payments Act</t>
  </si>
  <si>
    <t xml:space="preserve">Choose the full edition as a PDF. Relevant for prohibitions, authorisations and sanctions on breaches.</t>
  </si>
  <si>
    <t xml:space="preserve">19_AWG.pdf</t>
  </si>
  <si>
    <t xml:space="preserve">AWG</t>
  </si>
  <si>
    <t xml:space="preserve">https://www.gesetze-im-internet.de/awg_2013/</t>
  </si>
  <si>
    <t xml:space="preserve">Foreign Trade and Payments Ordinance</t>
  </si>
  <si>
    <t xml:space="preserve">129 pages on retrieval. Payments, reporting duties and supplementary national rules.</t>
  </si>
  <si>
    <t xml:space="preserve">20_AWV.pdf</t>
  </si>
  <si>
    <t xml:space="preserve">German government</t>
  </si>
  <si>
    <t xml:space="preserve">AWV</t>
  </si>
  <si>
    <t xml:space="preserve">https://www.gesetze-im-internet.de/awv_2013/AWV.pdf</t>
  </si>
  <si>
    <t xml:space="preserve">https://www.gesetze-im-internet.de/awv_2013/</t>
  </si>
  <si>
    <t xml:space="preserve">Organisation / data protection</t>
  </si>
  <si>
    <t xml:space="preserve">Minimum Requirements for Risk Management (MaRisk)</t>
  </si>
  <si>
    <t xml:space="preserve">Final 9th amendment, 82 pages. Do not load a consultation or comparison version.</t>
  </si>
  <si>
    <t xml:space="preserve">21_MaRisk_06_2026.pdf</t>
  </si>
  <si>
    <t xml:space="preserve">Circular 06/2026 (BA), Jun 30, 2026</t>
  </si>
  <si>
    <t xml:space="preserve">https://www.bundesbank.de/resource/blob/825336/866a68577eb35afee82fbe60c39a4f87/472B63F073F071307366337C94F8C870/2026-06-30-rundschreiben-data.pdf</t>
  </si>
  <si>
    <t xml:space="preserve">https://www.bundesbank.de/de/aufgaben/finanzaufsicht/einzelaspekte/risikomanagement/marisk/marisk-799522</t>
  </si>
  <si>
    <t xml:space="preserve">Banking Act</t>
  </si>
  <si>
    <t xml:space="preserve">Full act. For the Challenge especially business organisation, control functions and outsourcing.</t>
  </si>
  <si>
    <t xml:space="preserve">22_KWG.pdf</t>
  </si>
  <si>
    <t xml:space="preserve">KWG</t>
  </si>
  <si>
    <t xml:space="preserve">https://www.gesetze-im-internet.de/kredwg/KWG.pdf</t>
  </si>
  <si>
    <t xml:space="preserve">https://www.gesetze-im-internet.de/kredwg/</t>
  </si>
  <si>
    <t xml:space="preserve">Guidelines on internal governance under the CRD</t>
  </si>
  <si>
    <t xml:space="preserve">Choose the applicable final version and German translation. Keep new drafts or later revisions separate.</t>
  </si>
  <si>
    <t xml:space="preserve">23_EBA_Internal_Governance.pdf</t>
  </si>
  <si>
    <t xml:space="preserve">EBA/GL/2021/05</t>
  </si>
  <si>
    <t xml:space="preserve">https://eba.europa.eu/activities/single-rulebook/regulatory-activities/internal-governance/guidelines-internal-governance-under-crd</t>
  </si>
  <si>
    <t xml:space="preserve">Official document page confirmed in the search index</t>
  </si>
  <si>
    <t xml:space="preserve">Whistleblower Protection Act</t>
  </si>
  <si>
    <t xml:space="preserve">Internal reporting offices, confidentiality, procedures and protection against reprisals.</t>
  </si>
  <si>
    <t xml:space="preserve">24_HinSchG.pdf</t>
  </si>
  <si>
    <t xml:space="preserve">HinSchG</t>
  </si>
  <si>
    <t xml:space="preserve">https://www.gesetze-im-internet.de/hinschg/HinSchG.pdf</t>
  </si>
  <si>
    <t xml:space="preserve">https://www.gesetze-im-internet.de/hinschg/index.html</t>
  </si>
  <si>
    <t xml:space="preserve">General Data Protection Regulation</t>
  </si>
  <si>
    <t xml:space="preserve">Select the latest consolidated version, then German &gt; PDF. If no consolidation is offered: check the Official Journal version including corrigenda. Relevant: legal bases, retention, processing on behalf and data breaches.</t>
  </si>
  <si>
    <t xml:space="preserve">25_DSGVO.pdf</t>
  </si>
  <si>
    <t xml:space="preserve">Regulation (EU) 2016/679</t>
  </si>
  <si>
    <t xml:space="preserve">https://eur-lex.europa.eu/legal-content/DE/TXT/?uri=CELEX:32016R0679</t>
  </si>
  <si>
    <t xml:space="preserve">Federal Data Protection Act</t>
  </si>
  <si>
    <t xml:space="preserve">Supplement to the GDPR. For private banks, note the relevant scope of application.</t>
  </si>
  <si>
    <t xml:space="preserve">26_BDSG.pdf</t>
  </si>
  <si>
    <t xml:space="preserve">BDSG</t>
  </si>
  <si>
    <t xml:space="preserve">https://www.gesetze-im-internet.de/bdsg_2018/BDSG.pdf</t>
  </si>
  <si>
    <t xml:space="preserve">https://www.gesetze-im-internet.de/bdsg_2018/</t>
  </si>
  <si>
    <t xml:space="preserve">DORA / IT service providers</t>
  </si>
  <si>
    <t xml:space="preserve">DORA: digital operational resilience in the financial sector</t>
  </si>
  <si>
    <t xml:space="preserve">27_DORA_2022_2554.pdf</t>
  </si>
  <si>
    <t xml:space="preserve">Regulation (EU) 2022/2554</t>
  </si>
  <si>
    <t xml:space="preserve">https://eur-lex.europa.eu/eli/reg/2022/2554/oj/deu</t>
  </si>
  <si>
    <t xml:space="preserve">Technical standards on ICT risk management</t>
  </si>
  <si>
    <t xml:space="preserve">28_DORA_IKT_Risikomanagement.pdf</t>
  </si>
  <si>
    <t xml:space="preserve">Delegated Regulation (EU) 2024/1774</t>
  </si>
  <si>
    <t xml:space="preserve">https://eur-lex.europa.eu/legal-content/de/TXT/?uri=CELEX%3A32024R1774</t>
  </si>
  <si>
    <t xml:space="preserve">Official search index confirmed</t>
  </si>
  <si>
    <t xml:space="preserve">Classification of ICT-related incidents and cyber threats</t>
  </si>
  <si>
    <t xml:space="preserve">29_DORA_Vorfallklassifizierung.pdf</t>
  </si>
  <si>
    <t xml:space="preserve">Delegated Regulation (EU) 2024/1772</t>
  </si>
  <si>
    <t xml:space="preserve">https://eur-lex.europa.eu/legal-content/DE/TXT/?uri=CELEX:32024R1772</t>
  </si>
  <si>
    <t xml:space="preserve">Legal act confirmed in the official EUR-Lex reference</t>
  </si>
  <si>
    <t xml:space="preserve">Guideline on contractual arrangements with ICT third-party providers</t>
  </si>
  <si>
    <t xml:space="preserve">30_DORA_Vertragsleitlinie.pdf</t>
  </si>
  <si>
    <t xml:space="preserve">Delegated Regulation (EU) 2024/1773</t>
  </si>
  <si>
    <t xml:space="preserve">https://eur-lex.europa.eu/eli/reg_del/2024/1773/oj?locale=de</t>
  </si>
  <si>
    <t xml:space="preserve">Standard templates for the register of information</t>
  </si>
  <si>
    <t xml:space="preserve">Select the latest consolidated version, then German &gt; PDF. If no consolidation is offered: check the Official Journal version including corrigenda. Save the rules including annexes as one PDF.</t>
  </si>
  <si>
    <t xml:space="preserve">31_DORA_Informationsregister.pdf</t>
  </si>
  <si>
    <t xml:space="preserve">Implementing Regulation (EU) 2024/2956</t>
  </si>
  <si>
    <t xml:space="preserve">https://eur-lex.europa.eu/eli/reg/2024/2956/oj?locale=de</t>
  </si>
  <si>
    <t xml:space="preserve">Content and deadlines for reporting major ICT incidents</t>
  </si>
  <si>
    <t xml:space="preserve">32_DORA_Meldefristen.pdf</t>
  </si>
  <si>
    <t xml:space="preserve">Delegated Regulation (EU) 2025/301</t>
  </si>
  <si>
    <t xml:space="preserve">https://eur-lex.europa.eu/eli/reg_del/2025/301/oj/deu</t>
  </si>
  <si>
    <t xml:space="preserve">Forms and procedures for ICT incident reporting</t>
  </si>
  <si>
    <t xml:space="preserve">Select the latest consolidated version, then German &gt; PDF. If no consolidation is offered: check the Official Journal version including corrigenda. Save including the form annexes.</t>
  </si>
  <si>
    <t xml:space="preserve">33_DORA_Meldeformulare.pdf</t>
  </si>
  <si>
    <t xml:space="preserve">Implementing Regulation (EU) 2025/302</t>
  </si>
  <si>
    <t xml:space="preserve">https://eur-lex.europa.eu/legal-content/DE/TXT/?uri=oj%3AL_202500302</t>
  </si>
  <si>
    <t xml:space="preserve">Subcontracting of ICT services supporting critical or important functions</t>
  </si>
  <si>
    <t xml:space="preserve">34_DORA_Unterauftragnehmer.pdf</t>
  </si>
  <si>
    <t xml:space="preserve">Delegated Regulation (EU) 2025/532</t>
  </si>
  <si>
    <t xml:space="preserve">https://eur-lex.europa.eu/legal-content/DE/TXT/?uri=CELEX%3A32025R0532</t>
  </si>
  <si>
    <t xml:space="preserve">Supervisory communication: notes on Article 16 DORA</t>
  </si>
  <si>
    <t xml:space="preserve">Only for the simplified ICT risk management framework under Art. 16. Do not apply across all banks.</t>
  </si>
  <si>
    <t xml:space="preserve">35_BaFin_DORA_Artikel_16.pdf</t>
  </si>
  <si>
    <t xml:space="preserve">Aug 21, 2025</t>
  </si>
  <si>
    <t xml:space="preserve">https://www.bafin.de/SharedDocs/Downloads/DE/Anlage/Aufsichtsmitteilung/dl_2025_08_21_Aufsichtsmitteilung_Hinweise_Artikel_16_DORA.pdf?__blob=publicationFile&amp;v=3</t>
  </si>
  <si>
    <t xml:space="preserve">Securities / client protection</t>
  </si>
  <si>
    <t xml:space="preserve">Minimum Requirements for the Compliance Function (MaComp)</t>
  </si>
  <si>
    <t xml:space="preserve">Specific February 2024 version linked. Check for a newer BaFin version before the corpus freeze.</t>
  </si>
  <si>
    <t xml:space="preserve">36_MaComp.pdf</t>
  </si>
  <si>
    <t xml:space="preserve">Circular 05/2018 (WA), version Feb 28, 2024</t>
  </si>
  <si>
    <t xml:space="preserve">https://www.bafin.de/SharedDocs/Downloads/DE/Rundschreiben/dl_rs_0518_MaComp_fassung_februar_2024.pdf?__blob=publicationFile&amp;v=2</t>
  </si>
  <si>
    <t xml:space="preserve">Official PDF target from the source reference; retrieval blocked</t>
  </si>
  <si>
    <t xml:space="preserve">Securities Trading Act</t>
  </si>
  <si>
    <t xml:space="preserve">Especially sections 63 ff. on conduct-of-business and organisational duties.</t>
  </si>
  <si>
    <t xml:space="preserve">37_WpHG.pdf</t>
  </si>
  <si>
    <t xml:space="preserve">WpHG</t>
  </si>
  <si>
    <t xml:space="preserve">https://www.gesetze-im-internet.de/wphg/WpHG.pdf</t>
  </si>
  <si>
    <t xml:space="preserve">https://www.gesetze-im-internet.de/wphg/</t>
  </si>
  <si>
    <t xml:space="preserve">MiFID II organisational and conduct requirements</t>
  </si>
  <si>
    <t xml:space="preserve">38_MiFID_Organisation_2017_565.pdf</t>
  </si>
  <si>
    <t xml:space="preserve">Delegated Regulation (EU) 2017/565</t>
  </si>
  <si>
    <t xml:space="preserve">https://eur-lex.europa.eu/legal-content/DE/TXT/?uri=CELEX:32017R0565</t>
  </si>
  <si>
    <t xml:space="preserve">Official reference in the ESMA guidelines; browser check</t>
  </si>
  <si>
    <t xml:space="preserve">Safeguarding of client funds, product governance and inducements</t>
  </si>
  <si>
    <t xml:space="preserve">Select the latest consolidated version, then German &gt; PDF. If no consolidation is offered: check the Official Journal version including corrigenda. Directive: read together with the German transposition.</t>
  </si>
  <si>
    <t xml:space="preserve">39_MiFID_Produktgovernance_2017_593.pdf</t>
  </si>
  <si>
    <t xml:space="preserve">Delegated Directive (EU) 2017/593</t>
  </si>
  <si>
    <t xml:space="preserve">https://eur-lex.europa.eu/legal-content/DE/TXT/?uri=CELEX:32017L0593</t>
  </si>
  <si>
    <t xml:space="preserve">Market Abuse Regulation (MAR)</t>
  </si>
  <si>
    <t xml:space="preserve">Select the latest consolidated version, then German &gt; PDF. If no consolidation is offered: check the Official Journal version including corrigenda. Inside information, market manipulation and reporting duties.</t>
  </si>
  <si>
    <t xml:space="preserve">40_MAR_596_2014.pdf</t>
  </si>
  <si>
    <t xml:space="preserve">Regulation (EU) No 596/2014</t>
  </si>
  <si>
    <t xml:space="preserve">https://eur-lex.europa.eu/legal-content/DE/TXT/?uri=CELEX:32014R0596</t>
  </si>
  <si>
    <t xml:space="preserve">Official reference in Regulation 2016/957; browser check</t>
  </si>
  <si>
    <t xml:space="preserve">Detection and reporting of suspicious securities orders and transactions (STOR)</t>
  </si>
  <si>
    <t xml:space="preserve">Select the latest consolidated version, then German &gt; PDF. If no consolidation is offered: check the Official Journal version including corrigenda. Distinguish STOR reports from GwG suspicious activity reports.</t>
  </si>
  <si>
    <t xml:space="preserve">41_MAR_STOR_2016_957.pdf</t>
  </si>
  <si>
    <t xml:space="preserve">Delegated Regulation (EU) 2016/957</t>
  </si>
  <si>
    <t xml:space="preserve">https://eur-lex.europa.eu/eli/reg_del/2016/957/oj?locale=de</t>
  </si>
  <si>
    <t xml:space="preserve">Guidelines on the MiFID II suitability requirements</t>
  </si>
  <si>
    <t xml:space="preserve">37 pages. German final version for investment advice and portfolio management.</t>
  </si>
  <si>
    <t xml:space="preserve">42_ESMA_Geeignetheit.pdf</t>
  </si>
  <si>
    <t xml:space="preserve">ESMA</t>
  </si>
  <si>
    <t xml:space="preserve">ESMA35-43-3172, Apr 3, 2023</t>
  </si>
  <si>
    <t xml:space="preserve">https://www.esma.europa.eu/sites/default/files/2023-04/ESMA35-43-3172_Guidelines_on_certain_aspects_of_the_MiFID_II_suitability_requirements_DE.pdf</t>
  </si>
  <si>
    <t xml:space="preserve">https://www.esma.europa.eu/document/guidelines-certain-aspects-mifid-ii-suitability-requirements-1</t>
  </si>
  <si>
    <t xml:space="preserve">Guidelines on appropriateness and execution-only</t>
  </si>
  <si>
    <t xml:space="preserve">27 pages. Deliberately distinguish suitability and appropriateness in the question set.</t>
  </si>
  <si>
    <t xml:space="preserve">43_ESMA_Angemessenheit.pdf</t>
  </si>
  <si>
    <t xml:space="preserve">ESMA35-43-3006</t>
  </si>
  <si>
    <t xml:space="preserve">https://www.esma.europa.eu/sites/default/files/library/esma35-43-3006_gls_on_certain_aspects_of_the_mifid_ii_appropriateness_and_execution-only_requirements_de.pdf</t>
  </si>
  <si>
    <t xml:space="preserve">https://www.esma.europa.eu/document/guidelines-certain-aspects-mifid-ii-appropriateness-and-execution-only-requirements</t>
  </si>
  <si>
    <t xml:space="preserve">Guidelines on the compliance function under MiFID II</t>
  </si>
  <si>
    <t xml:space="preserve">27 pages. Tasks, independence, monitoring and reporting.</t>
  </si>
  <si>
    <t xml:space="preserve">44_ESMA_Compliance_Funktion.pdf</t>
  </si>
  <si>
    <t xml:space="preserve">ESMA35-36-1952</t>
  </si>
  <si>
    <t xml:space="preserve">https://www.esma.europa.eu/sites/default/files/library/guidelines_on_certain_aspects_of_mifid_ii_compliance_function_requirements_de.pdf</t>
  </si>
  <si>
    <t xml:space="preserve">https://www.esma.europa.eu/document/guidelines-certain-aspects-mifid-ii-compliance-function-requirements</t>
  </si>
  <si>
    <t xml:space="preserve">Guidelines on product governance requirements under MiFID II</t>
  </si>
  <si>
    <t xml:space="preserve">33 pages. Final guidelines from August 2023, not the final report or consultation.</t>
  </si>
  <si>
    <t xml:space="preserve">45_ESMA_Product_Governance.pdf</t>
  </si>
  <si>
    <t xml:space="preserve">ESMA35-43-3448, 2023</t>
  </si>
  <si>
    <t xml:space="preserve">https://www.esma.europa.eu/sites/default/files/2023-08/ESMA35-43-3448_Guidelines_on_product_governance_DE.pdf</t>
  </si>
  <si>
    <t xml:space="preserve">Guidelines on complaints handling in the securities and banking sector</t>
  </si>
  <si>
    <t xml:space="preserve">Choose the 2018 guidelines. Not a compliance table, consultation or assessment study.</t>
  </si>
  <si>
    <t xml:space="preserve">46_EBA_ESMA_Beschwerdebearbeitung.pdf</t>
  </si>
  <si>
    <t xml:space="preserve">EBA / ESMA</t>
  </si>
  <si>
    <t xml:space="preserve">JC 2018 35</t>
  </si>
  <si>
    <t xml:space="preserve">https://www.eba.europa.eu/legacy/regulation-and-policy/regulatory-activities/consumer-protection-and-financial-innovation-10</t>
  </si>
  <si>
    <t xml:space="preserve">Payments</t>
  </si>
  <si>
    <t xml:space="preserve">Payment Accounts Act</t>
  </si>
  <si>
    <t xml:space="preserve">Choose the full edition as a PDF at the top. Basic account, refusal, termination and account switching.</t>
  </si>
  <si>
    <t xml:space="preserve">47_ZKG.pdf</t>
  </si>
  <si>
    <t xml:space="preserve">ZKG</t>
  </si>
  <si>
    <t xml:space="preserve">https://www.gesetze-im-internet.de/zkg/</t>
  </si>
  <si>
    <t xml:space="preserve">Payment Services Supervision Act</t>
  </si>
  <si>
    <t xml:space="preserve">Full edition as a PDF. Distinguish which duties apply to banks versus payment institutions.</t>
  </si>
  <si>
    <t xml:space="preserve">48_ZAG.pdf</t>
  </si>
  <si>
    <t xml:space="preserve">ZAG</t>
  </si>
  <si>
    <t xml:space="preserve">https://www.gesetze-im-internet.de/zag_2018/</t>
  </si>
  <si>
    <t xml:space="preserve">German Civil Code, focus on payment services</t>
  </si>
  <si>
    <t xml:space="preserve">Download the full act, count as ONE document. For RAG, preferably index the payment services section.</t>
  </si>
  <si>
    <t xml:space="preserve">49_BGB.pdf</t>
  </si>
  <si>
    <t xml:space="preserve">BGB, especially sections 675c-676c</t>
  </si>
  <si>
    <t xml:space="preserve">https://www.gesetze-im-internet.de/bgb/BGB.pdf</t>
  </si>
  <si>
    <t xml:space="preserve">https://www.gesetze-im-internet.de/bgb/</t>
  </si>
  <si>
    <t xml:space="preserve">Instant credit transfers in euro</t>
  </si>
  <si>
    <t xml:space="preserve">Amending regulation. Distinguish the application deadlines; for operational questions also consider the amended base regulations.</t>
  </si>
  <si>
    <t xml:space="preserve">50_EU_Echtzeitueberweisungen.pdf</t>
  </si>
  <si>
    <t xml:space="preserve">Regulation (EU) 2024/886</t>
  </si>
  <si>
    <t xml:space="preserve">https://eur-lex.europa.eu/eli/reg/2024/886/oj?locale=de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</si>
</sst>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72B3A"/>
      <name val="Arial"/>
      <family val="0"/>
      <charset val="1"/>
    </font>
    <font>
      <b val="true"/>
      <sz val="16"/>
      <color rgb="FF03172B"/>
      <name val="Arial"/>
      <family val="0"/>
      <charset val="1"/>
    </font>
    <font>
      <sz val="10"/>
      <color rgb="FF5E6F7C"/>
      <name val="Arial"/>
      <family val="0"/>
      <charset val="1"/>
    </font>
    <font>
      <b val="true"/>
      <sz val="14"/>
      <color rgb="FF03172B"/>
      <name val="Arial"/>
      <family val="0"/>
      <charset val="1"/>
    </font>
    <font>
      <sz val="10"/>
      <color rgb="FF596B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25D9C"/>
      <name val="Arial"/>
      <family val="0"/>
      <charset val="1"/>
    </font>
    <font>
      <sz val="10"/>
      <color rgb="FF4F627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3172B"/>
        <bgColor rgb="FF172B3A"/>
      </patternFill>
    </fill>
    <fill>
      <patternFill patternType="solid">
        <fgColor rgb="FFFFFFFF"/>
        <bgColor rgb="FFF0F4F7"/>
      </patternFill>
    </fill>
    <fill>
      <patternFill patternType="solid">
        <fgColor rgb="FFFFF4CD"/>
        <bgColor rgb="FFFCE3D9"/>
      </patternFill>
    </fill>
    <fill>
      <patternFill patternType="solid">
        <fgColor rgb="FFF0F4F7"/>
        <bgColor rgb="FFE4F0E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9B9C7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3172B"/>
          <bgColor rgb="FF000000"/>
        </patternFill>
      </fill>
    </dxf>
    <dxf>
      <fill>
        <patternFill patternType="solid">
          <fgColor rgb="FFF0F4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2B3A"/>
          <bgColor rgb="FF000000"/>
        </patternFill>
      </fill>
    </dxf>
    <dxf>
      <fill>
        <patternFill patternType="solid">
          <fgColor rgb="FFFFF4CD"/>
          <bgColor rgb="FF000000"/>
        </patternFill>
      </fill>
    </dxf>
    <dxf>
      <fill>
        <patternFill patternType="solid">
          <fgColor rgb="FFDCE7EF"/>
          <bgColor rgb="FF000000"/>
        </patternFill>
      </fill>
    </dxf>
    <dxf>
      <fill>
        <patternFill patternType="solid">
          <fgColor rgb="FF125D9C"/>
          <bgColor rgb="FF000000"/>
        </patternFill>
      </fill>
    </dxf>
    <dxf>
      <fill>
        <patternFill patternType="solid">
          <fgColor rgb="FF4F6270"/>
          <bgColor rgb="FF000000"/>
        </patternFill>
      </fill>
    </dxf>
    <dxf>
      <font>
        <color rgb="FF1E5831"/>
      </font>
      <fill>
        <patternFill>
          <bgColor rgb="FFE4F0E6"/>
        </patternFill>
      </fill>
    </dxf>
    <dxf>
      <font>
        <color rgb="FF9E3A26"/>
      </font>
      <fill>
        <patternFill>
          <bgColor rgb="FFFCE3D9"/>
        </patternFill>
      </fill>
    </dxf>
    <dxf>
      <font>
        <b val="1"/>
        <color rgb="FF03172B"/>
      </font>
      <fill>
        <patternFill>
          <bgColor rgb="FFDCE7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9C7"/>
      <rgbColor rgb="FF596B79"/>
      <rgbColor rgb="FF9999FF"/>
      <rgbColor rgb="FF993366"/>
      <rgbColor rgb="FFFFF4CD"/>
      <rgbColor rgb="FFE4F0E6"/>
      <rgbColor rgb="FF660066"/>
      <rgbColor rgb="FFFF8080"/>
      <rgbColor rgb="FF125D9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7EF"/>
      <rgbColor rgb="FFF0F4F7"/>
      <rgbColor rgb="FFFFFF99"/>
      <rgbColor rgb="FF99CCFF"/>
      <rgbColor rgb="FFFF99CC"/>
      <rgbColor rgb="FFCC99FF"/>
      <rgbColor rgb="FFFCE3D9"/>
      <rgbColor rgb="FF3366FF"/>
      <rgbColor rgb="FF33CCCC"/>
      <rgbColor rgb="FF99CC00"/>
      <rgbColor rgb="FFFFCC00"/>
      <rgbColor rgb="FFFF9900"/>
      <rgbColor rgb="FFFF6600"/>
      <rgbColor rgb="FF5E6F7C"/>
      <rgbColor rgb="FF969696"/>
      <rgbColor rgb="FF003366"/>
      <rgbColor rgb="FF339966"/>
      <rgbColor rgb="FF03172B"/>
      <rgbColor rgb="FF1E5831"/>
      <rgbColor rgb="FF9E3A26"/>
      <rgbColor rgb="FF993366"/>
      <rgbColor rgb="FF4F6270"/>
      <rgbColor rgb="FF172B3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okumente" displayName="Dokumente" ref="A8:P58" headerRowCount="1" totalsRowCount="0" totalsRowShown="0">
  <autoFilter ref="A8:P58"/>
  <tableColumns count="16">
    <tableColumn id="1" name="No."/>
    <tableColumn id="2" name="Status"/>
    <tableColumn id="3" name="Prio"/>
    <tableColumn id="4" name="Topic"/>
    <tableColumn id="5" name="Document"/>
    <tableColumn id="6" name="Open"/>
    <tableColumn id="7" name="Link type"/>
    <tableColumn id="8" name="Language"/>
    <tableColumn id="9" name="Version / download note"/>
    <tableColumn id="10" name="File name"/>
    <tableColumn id="11" name="Publisher"/>
    <tableColumn id="12" name="Reference / version"/>
    <tableColumn id="13" name="Source URL"/>
    <tableColumn id="14" name="Fallback link"/>
    <tableColumn id="15" name="Link check"/>
    <tableColumn id="16" name="Saved version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172B"/>
    <pageSetUpPr fitToPage="false"/>
  </sheetPr>
  <dimension ref="A1:P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6"/>
    <col collapsed="false" customWidth="true" hidden="false" outlineLevel="0" max="4" min="4" style="1" width="27"/>
    <col collapsed="false" customWidth="true" hidden="false" outlineLevel="0" max="5" min="5" style="1" width="61"/>
    <col collapsed="false" customWidth="true" hidden="false" outlineLevel="0" max="6" min="6" style="1" width="15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9" min="9" style="1" width="70"/>
    <col collapsed="false" customWidth="true" hidden="false" outlineLevel="0" max="10" min="10" style="1" width="47"/>
    <col collapsed="false" customWidth="true" hidden="false" outlineLevel="0" max="11" min="11" style="1" width="23"/>
    <col collapsed="false" customWidth="true" hidden="false" outlineLevel="0" max="12" min="12" style="1" width="43"/>
    <col collapsed="false" customWidth="true" hidden="false" outlineLevel="0" max="14" min="13" style="1" width="75"/>
    <col collapsed="false" customWidth="true" hidden="false" outlineLevel="0" max="15" min="15" style="1" width="62"/>
    <col collapsed="false" customWidth="true" hidden="false" outlineLevel="0" max="16" min="16" style="1" width="22"/>
  </cols>
  <sheetData>
    <row r="1" customFormat="false" ht="21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8.5" hidden="false" customHeight="true" outlineLevel="0" collapsed="false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customFormat="false" ht="27" hidden="false" customHeight="true" outlineLevel="0" collapsed="false">
      <c r="A4" s="2" t="s">
        <v>2</v>
      </c>
      <c r="B4" s="6" t="n">
        <f aca="false">COUNTA(E9:E58)</f>
        <v>50</v>
      </c>
      <c r="C4" s="2"/>
      <c r="D4" s="2" t="s">
        <v>3</v>
      </c>
      <c r="E4" s="6" t="n">
        <f aca="false">COUNTIFS(B9:B58,"Saved")</f>
        <v>0</v>
      </c>
      <c r="F4" s="2"/>
      <c r="G4" s="2" t="s">
        <v>4</v>
      </c>
      <c r="H4" s="6" t="n">
        <f aca="false">B4-E4</f>
        <v>50</v>
      </c>
      <c r="I4" s="2"/>
      <c r="J4" s="2" t="s">
        <v>5</v>
      </c>
      <c r="K4" s="6" t="n">
        <f aca="false">COUNTIFS(G9:G58,"Direct PDF")</f>
        <v>19</v>
      </c>
      <c r="L4" s="2"/>
      <c r="M4" s="2" t="s">
        <v>6</v>
      </c>
      <c r="N4" s="2"/>
      <c r="O4" s="2"/>
      <c r="P4" s="2"/>
    </row>
    <row r="5" customFormat="false" ht="21.75" hidden="false" customHeight="true" outlineLevel="0" collapsed="false">
      <c r="A5" s="7" t="s">
        <v>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customFormat="false" ht="21.75" hidden="false" customHeight="true" outlineLevel="0" collapsed="false">
      <c r="A6" s="7" t="s">
        <v>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customFormat="false" ht="21.75" hidden="false" customHeight="true" outlineLevel="0" collapsed="false">
      <c r="A7" s="7" t="s">
        <v>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33" hidden="false" customHeight="true" outlineLevel="0" collapsed="false">
      <c r="A8" s="8" t="s">
        <v>10</v>
      </c>
      <c r="B8" s="9" t="s">
        <v>11</v>
      </c>
      <c r="C8" s="9" t="s">
        <v>12</v>
      </c>
      <c r="D8" s="9" t="s">
        <v>13</v>
      </c>
      <c r="E8" s="9" t="s">
        <v>14</v>
      </c>
      <c r="F8" s="9" t="s">
        <v>15</v>
      </c>
      <c r="G8" s="9" t="s">
        <v>16</v>
      </c>
      <c r="H8" s="9" t="s">
        <v>17</v>
      </c>
      <c r="I8" s="9" t="s">
        <v>18</v>
      </c>
      <c r="J8" s="9" t="s">
        <v>19</v>
      </c>
      <c r="K8" s="9" t="s">
        <v>20</v>
      </c>
      <c r="L8" s="9" t="s">
        <v>21</v>
      </c>
      <c r="M8" s="9" t="s">
        <v>22</v>
      </c>
      <c r="N8" s="9" t="s">
        <v>23</v>
      </c>
      <c r="O8" s="9" t="s">
        <v>24</v>
      </c>
      <c r="P8" s="10" t="s">
        <v>25</v>
      </c>
    </row>
    <row r="9" customFormat="false" ht="67.5" hidden="false" customHeight="true" outlineLevel="0" collapsed="false">
      <c r="A9" s="11" t="n">
        <v>1</v>
      </c>
      <c r="B9" s="12" t="s">
        <v>15</v>
      </c>
      <c r="C9" s="11" t="s">
        <v>26</v>
      </c>
      <c r="D9" s="13" t="s">
        <v>27</v>
      </c>
      <c r="E9" s="13" t="s">
        <v>28</v>
      </c>
      <c r="F9" s="14" t="str">
        <f aca="false">HYPERLINK("https://www.gesetze-im-internet.de/gwg_2017/index.html","Open page")</f>
        <v>Open page</v>
      </c>
      <c r="G9" s="11" t="s">
        <v>29</v>
      </c>
      <c r="H9" s="11" t="s">
        <v>30</v>
      </c>
      <c r="I9" s="13" t="s">
        <v>31</v>
      </c>
      <c r="J9" s="15" t="s">
        <v>32</v>
      </c>
      <c r="K9" s="13" t="s">
        <v>33</v>
      </c>
      <c r="L9" s="13" t="s">
        <v>34</v>
      </c>
      <c r="M9" s="13" t="s">
        <v>35</v>
      </c>
      <c r="N9" s="13"/>
      <c r="O9" s="13" t="s">
        <v>36</v>
      </c>
      <c r="P9" s="16"/>
    </row>
    <row r="10" customFormat="false" ht="67.5" hidden="false" customHeight="true" outlineLevel="0" collapsed="false">
      <c r="A10" s="17" t="n">
        <v>2</v>
      </c>
      <c r="B10" s="12" t="s">
        <v>15</v>
      </c>
      <c r="C10" s="17" t="s">
        <v>26</v>
      </c>
      <c r="D10" s="18" t="s">
        <v>27</v>
      </c>
      <c r="E10" s="18" t="s">
        <v>37</v>
      </c>
      <c r="F10" s="19" t="str">
        <f aca="false">HYPERLINK("https://www.bafin.de/SharedDocs/Downloads/DE/Auslegungsentscheidung/dl-ae-auas-2025-gw.html","Open page")</f>
        <v>Open page</v>
      </c>
      <c r="G10" s="17" t="s">
        <v>29</v>
      </c>
      <c r="H10" s="17" t="s">
        <v>30</v>
      </c>
      <c r="I10" s="18" t="s">
        <v>38</v>
      </c>
      <c r="J10" s="20" t="s">
        <v>39</v>
      </c>
      <c r="K10" s="18" t="s">
        <v>40</v>
      </c>
      <c r="L10" s="18" t="s">
        <v>41</v>
      </c>
      <c r="M10" s="18" t="s">
        <v>42</v>
      </c>
      <c r="N10" s="18"/>
      <c r="O10" s="18" t="s">
        <v>43</v>
      </c>
      <c r="P10" s="16"/>
    </row>
    <row r="11" customFormat="false" ht="67.5" hidden="false" customHeight="true" outlineLevel="0" collapsed="false">
      <c r="A11" s="11" t="n">
        <v>3</v>
      </c>
      <c r="B11" s="12" t="s">
        <v>15</v>
      </c>
      <c r="C11" s="11" t="s">
        <v>26</v>
      </c>
      <c r="D11" s="13" t="s">
        <v>27</v>
      </c>
      <c r="E11" s="13" t="s">
        <v>44</v>
      </c>
      <c r="F11" s="14" t="str">
        <f aca="false">HYPERLINK("https://www.bafin.de/SharedDocs/Downloads/DE/Auslegungsentscheidung/dl_ae_aua_bt_ki_gw.pdf?__blob=publicationFile&amp;v=2","Open PDF")</f>
        <v>Open PDF</v>
      </c>
      <c r="G11" s="11" t="s">
        <v>5</v>
      </c>
      <c r="H11" s="11" t="s">
        <v>30</v>
      </c>
      <c r="I11" s="13" t="s">
        <v>45</v>
      </c>
      <c r="J11" s="15" t="s">
        <v>46</v>
      </c>
      <c r="K11" s="13" t="s">
        <v>40</v>
      </c>
      <c r="L11" s="13" t="s">
        <v>47</v>
      </c>
      <c r="M11" s="13" t="s">
        <v>48</v>
      </c>
      <c r="N11" s="13"/>
      <c r="O11" s="13" t="s">
        <v>43</v>
      </c>
      <c r="P11" s="16"/>
    </row>
    <row r="12" customFormat="false" ht="67.5" hidden="false" customHeight="true" outlineLevel="0" collapsed="false">
      <c r="A12" s="17" t="n">
        <v>4</v>
      </c>
      <c r="B12" s="12" t="s">
        <v>15</v>
      </c>
      <c r="C12" s="17" t="s">
        <v>26</v>
      </c>
      <c r="D12" s="18" t="s">
        <v>27</v>
      </c>
      <c r="E12" s="18" t="s">
        <v>49</v>
      </c>
      <c r="F12" s="19" t="str">
        <f aca="false">HYPERLINK("https://eba.europa.eu/legacy/regulation-and-policy/regulatory-activities/anti-money-laundering-and-countering-financing-1?version=2024","Open page")</f>
        <v>Open page</v>
      </c>
      <c r="G12" s="17" t="s">
        <v>29</v>
      </c>
      <c r="H12" s="17" t="s">
        <v>50</v>
      </c>
      <c r="I12" s="18" t="s">
        <v>51</v>
      </c>
      <c r="J12" s="20" t="s">
        <v>52</v>
      </c>
      <c r="K12" s="18" t="s">
        <v>53</v>
      </c>
      <c r="L12" s="18" t="s">
        <v>54</v>
      </c>
      <c r="M12" s="18" t="s">
        <v>55</v>
      </c>
      <c r="N12" s="18"/>
      <c r="O12" s="18" t="s">
        <v>56</v>
      </c>
      <c r="P12" s="16"/>
    </row>
    <row r="13" customFormat="false" ht="67.5" hidden="false" customHeight="true" outlineLevel="0" collapsed="false">
      <c r="A13" s="11" t="n">
        <v>5</v>
      </c>
      <c r="B13" s="12" t="s">
        <v>15</v>
      </c>
      <c r="C13" s="11" t="s">
        <v>26</v>
      </c>
      <c r="D13" s="13" t="s">
        <v>27</v>
      </c>
      <c r="E13" s="13" t="s">
        <v>57</v>
      </c>
      <c r="F13" s="14" t="str">
        <f aca="false">HYPERLINK("https://www.eba.europa.eu/activities/single-rulebook/regulatory-activities/anti-money-laundering-and-countering-financing-1","Open page")</f>
        <v>Open page</v>
      </c>
      <c r="G13" s="11" t="s">
        <v>29</v>
      </c>
      <c r="H13" s="11" t="s">
        <v>30</v>
      </c>
      <c r="I13" s="13" t="s">
        <v>58</v>
      </c>
      <c r="J13" s="15" t="s">
        <v>59</v>
      </c>
      <c r="K13" s="13" t="s">
        <v>53</v>
      </c>
      <c r="L13" s="13" t="s">
        <v>60</v>
      </c>
      <c r="M13" s="13" t="s">
        <v>61</v>
      </c>
      <c r="N13" s="13"/>
      <c r="O13" s="13" t="s">
        <v>56</v>
      </c>
      <c r="P13" s="16"/>
    </row>
    <row r="14" customFormat="false" ht="67.5" hidden="false" customHeight="true" outlineLevel="0" collapsed="false">
      <c r="A14" s="17" t="n">
        <v>6</v>
      </c>
      <c r="B14" s="12" t="s">
        <v>15</v>
      </c>
      <c r="C14" s="17" t="s">
        <v>26</v>
      </c>
      <c r="D14" s="18" t="s">
        <v>27</v>
      </c>
      <c r="E14" s="18" t="s">
        <v>62</v>
      </c>
      <c r="F14" s="19" t="str">
        <f aca="false">HYPERLINK("https://eba.europa.eu/legacy/regulation-and-policy/regulatory-activities/anti-money-laundering-and-countering-financing-4","Open page")</f>
        <v>Open page</v>
      </c>
      <c r="G14" s="17" t="s">
        <v>29</v>
      </c>
      <c r="H14" s="17" t="s">
        <v>30</v>
      </c>
      <c r="I14" s="18" t="s">
        <v>63</v>
      </c>
      <c r="J14" s="20" t="s">
        <v>64</v>
      </c>
      <c r="K14" s="18" t="s">
        <v>53</v>
      </c>
      <c r="L14" s="18" t="s">
        <v>65</v>
      </c>
      <c r="M14" s="18" t="s">
        <v>66</v>
      </c>
      <c r="N14" s="18"/>
      <c r="O14" s="18" t="s">
        <v>67</v>
      </c>
      <c r="P14" s="16"/>
    </row>
    <row r="15" customFormat="false" ht="67.5" hidden="false" customHeight="true" outlineLevel="0" collapsed="false">
      <c r="A15" s="11" t="n">
        <v>7</v>
      </c>
      <c r="B15" s="12" t="s">
        <v>15</v>
      </c>
      <c r="C15" s="11" t="s">
        <v>68</v>
      </c>
      <c r="D15" s="13" t="s">
        <v>27</v>
      </c>
      <c r="E15" s="13" t="s">
        <v>69</v>
      </c>
      <c r="F15" s="14" t="str">
        <f aca="false">HYPERLINK("https://www.eba.europa.eu/sites/default/files/document_library/Publications/Guidelines/2023/1054144/Guidelines%20on%20MLTF%20risk%20management%20and%20access%20to%20financial%20services.pdf","Open PDF")</f>
        <v>Open PDF</v>
      </c>
      <c r="G15" s="11" t="s">
        <v>5</v>
      </c>
      <c r="H15" s="11" t="s">
        <v>70</v>
      </c>
      <c r="I15" s="13" t="s">
        <v>71</v>
      </c>
      <c r="J15" s="15" t="s">
        <v>72</v>
      </c>
      <c r="K15" s="13" t="s">
        <v>53</v>
      </c>
      <c r="L15" s="13" t="s">
        <v>73</v>
      </c>
      <c r="M15" s="13" t="s">
        <v>74</v>
      </c>
      <c r="N15" s="13"/>
      <c r="O15" s="13" t="s">
        <v>75</v>
      </c>
      <c r="P15" s="16"/>
    </row>
    <row r="16" customFormat="false" ht="67.5" hidden="false" customHeight="true" outlineLevel="0" collapsed="false">
      <c r="A16" s="17" t="n">
        <v>8</v>
      </c>
      <c r="B16" s="12" t="s">
        <v>15</v>
      </c>
      <c r="C16" s="17" t="s">
        <v>68</v>
      </c>
      <c r="D16" s="18" t="s">
        <v>27</v>
      </c>
      <c r="E16" s="18" t="s">
        <v>76</v>
      </c>
      <c r="F16" s="19" t="str">
        <f aca="false">HYPERLINK("https://www.eba.europa.eu/sites/default/files/2024-07/6de6e9b9-0ed9-49cd-985d-c0834b5b4356/Travel%20Rule%20Guidelines.pdf","Open PDF")</f>
        <v>Open PDF</v>
      </c>
      <c r="G16" s="17" t="s">
        <v>5</v>
      </c>
      <c r="H16" s="17" t="s">
        <v>70</v>
      </c>
      <c r="I16" s="18" t="s">
        <v>77</v>
      </c>
      <c r="J16" s="20" t="s">
        <v>78</v>
      </c>
      <c r="K16" s="18" t="s">
        <v>53</v>
      </c>
      <c r="L16" s="18" t="s">
        <v>79</v>
      </c>
      <c r="M16" s="18" t="s">
        <v>80</v>
      </c>
      <c r="N16" s="18"/>
      <c r="O16" s="18" t="s">
        <v>75</v>
      </c>
      <c r="P16" s="16"/>
    </row>
    <row r="17" customFormat="false" ht="67.5" hidden="false" customHeight="true" outlineLevel="0" collapsed="false">
      <c r="A17" s="11" t="n">
        <v>9</v>
      </c>
      <c r="B17" s="12" t="s">
        <v>15</v>
      </c>
      <c r="C17" s="11" t="s">
        <v>26</v>
      </c>
      <c r="D17" s="13" t="s">
        <v>27</v>
      </c>
      <c r="E17" s="13" t="s">
        <v>81</v>
      </c>
      <c r="F17" s="14" t="str">
        <f aca="false">HYPERLINK("https://eur-lex.europa.eu/legal-content/DE/TXT/?uri=CELEX:32023R1113","Open page")</f>
        <v>Open page</v>
      </c>
      <c r="G17" s="11" t="s">
        <v>82</v>
      </c>
      <c r="H17" s="11" t="s">
        <v>30</v>
      </c>
      <c r="I17" s="13" t="s">
        <v>83</v>
      </c>
      <c r="J17" s="15" t="s">
        <v>84</v>
      </c>
      <c r="K17" s="13" t="s">
        <v>85</v>
      </c>
      <c r="L17" s="13" t="s">
        <v>86</v>
      </c>
      <c r="M17" s="13" t="s">
        <v>87</v>
      </c>
      <c r="N17" s="13"/>
      <c r="O17" s="13" t="s">
        <v>88</v>
      </c>
      <c r="P17" s="16"/>
    </row>
    <row r="18" customFormat="false" ht="67.5" hidden="false" customHeight="true" outlineLevel="0" collapsed="false">
      <c r="A18" s="17" t="n">
        <v>10</v>
      </c>
      <c r="B18" s="12" t="s">
        <v>15</v>
      </c>
      <c r="C18" s="17" t="s">
        <v>26</v>
      </c>
      <c r="D18" s="18" t="s">
        <v>27</v>
      </c>
      <c r="E18" s="18" t="s">
        <v>89</v>
      </c>
      <c r="F18" s="19" t="str">
        <f aca="false">HYPERLINK("https://www.bafin.de/SharedDocs/Downloads/DE/Aufsichtsrecht/dl_orientierungshilfe_verdachtsmeldung_gw.pdf?__blob=publicationFile&amp;v=3","Open PDF")</f>
        <v>Open PDF</v>
      </c>
      <c r="G18" s="17" t="s">
        <v>5</v>
      </c>
      <c r="H18" s="17" t="s">
        <v>30</v>
      </c>
      <c r="I18" s="18" t="s">
        <v>90</v>
      </c>
      <c r="J18" s="20" t="s">
        <v>91</v>
      </c>
      <c r="K18" s="18" t="s">
        <v>92</v>
      </c>
      <c r="L18" s="18" t="s">
        <v>93</v>
      </c>
      <c r="M18" s="18" t="s">
        <v>94</v>
      </c>
      <c r="N18" s="18"/>
      <c r="O18" s="18" t="s">
        <v>95</v>
      </c>
      <c r="P18" s="16"/>
    </row>
    <row r="19" customFormat="false" ht="67.5" hidden="false" customHeight="true" outlineLevel="0" collapsed="false">
      <c r="A19" s="11" t="n">
        <v>11</v>
      </c>
      <c r="B19" s="12" t="s">
        <v>15</v>
      </c>
      <c r="C19" s="11" t="s">
        <v>68</v>
      </c>
      <c r="D19" s="13" t="s">
        <v>27</v>
      </c>
      <c r="E19" s="13" t="s">
        <v>96</v>
      </c>
      <c r="F19" s="14" t="str">
        <f aca="false">HYPERLINK("https://www.bafin.de/SharedDocs/Veroeffentlichungen/DE/Rundschreiben/2017/rs_1703_gw_videoident.html","Open page")</f>
        <v>Open page</v>
      </c>
      <c r="G19" s="11" t="s">
        <v>97</v>
      </c>
      <c r="H19" s="11" t="s">
        <v>30</v>
      </c>
      <c r="I19" s="13" t="s">
        <v>98</v>
      </c>
      <c r="J19" s="15" t="s">
        <v>99</v>
      </c>
      <c r="K19" s="13" t="s">
        <v>40</v>
      </c>
      <c r="L19" s="13" t="s">
        <v>100</v>
      </c>
      <c r="M19" s="13" t="s">
        <v>101</v>
      </c>
      <c r="N19" s="13"/>
      <c r="O19" s="13" t="s">
        <v>56</v>
      </c>
      <c r="P19" s="16"/>
    </row>
    <row r="20" customFormat="false" ht="67.5" hidden="false" customHeight="true" outlineLevel="0" collapsed="false">
      <c r="A20" s="17" t="n">
        <v>12</v>
      </c>
      <c r="B20" s="12" t="s">
        <v>15</v>
      </c>
      <c r="C20" s="17" t="s">
        <v>26</v>
      </c>
      <c r="D20" s="18" t="s">
        <v>27</v>
      </c>
      <c r="E20" s="18" t="s">
        <v>102</v>
      </c>
      <c r="F20" s="19" t="str">
        <f aca="false">HYPERLINK("https://eur-lex.europa.eu/legal-content/DE/TXT/?uri=CELEX:32016R1675","Open page")</f>
        <v>Open page</v>
      </c>
      <c r="G20" s="17" t="s">
        <v>82</v>
      </c>
      <c r="H20" s="17" t="s">
        <v>30</v>
      </c>
      <c r="I20" s="18" t="s">
        <v>103</v>
      </c>
      <c r="J20" s="20" t="s">
        <v>104</v>
      </c>
      <c r="K20" s="18" t="s">
        <v>105</v>
      </c>
      <c r="L20" s="18" t="s">
        <v>106</v>
      </c>
      <c r="M20" s="18" t="s">
        <v>107</v>
      </c>
      <c r="N20" s="18"/>
      <c r="O20" s="18" t="s">
        <v>108</v>
      </c>
      <c r="P20" s="16"/>
    </row>
    <row r="21" customFormat="false" ht="67.5" hidden="false" customHeight="true" outlineLevel="0" collapsed="false">
      <c r="A21" s="11" t="n">
        <v>13</v>
      </c>
      <c r="B21" s="12" t="s">
        <v>15</v>
      </c>
      <c r="C21" s="11" t="s">
        <v>26</v>
      </c>
      <c r="D21" s="13" t="s">
        <v>109</v>
      </c>
      <c r="E21" s="13" t="s">
        <v>110</v>
      </c>
      <c r="F21" s="14" t="str">
        <f aca="false">HYPERLINK("https://www.bundesbank.de/resource/blob/886614/4355fc5861c5d6817567b440e737fad1/472B63F073F071307366337C94F8C870/faq-finanzsanktionen-data.pdf","Open PDF")</f>
        <v>Open PDF</v>
      </c>
      <c r="G21" s="11" t="s">
        <v>5</v>
      </c>
      <c r="H21" s="11" t="s">
        <v>30</v>
      </c>
      <c r="I21" s="13" t="s">
        <v>111</v>
      </c>
      <c r="J21" s="15" t="s">
        <v>112</v>
      </c>
      <c r="K21" s="13" t="s">
        <v>113</v>
      </c>
      <c r="L21" s="13" t="s">
        <v>114</v>
      </c>
      <c r="M21" s="13" t="s">
        <v>115</v>
      </c>
      <c r="N21" s="13" t="s">
        <v>116</v>
      </c>
      <c r="O21" s="13" t="s">
        <v>117</v>
      </c>
      <c r="P21" s="16"/>
    </row>
    <row r="22" customFormat="false" ht="67.5" hidden="false" customHeight="true" outlineLevel="0" collapsed="false">
      <c r="A22" s="17" t="n">
        <v>14</v>
      </c>
      <c r="B22" s="12" t="s">
        <v>15</v>
      </c>
      <c r="C22" s="17" t="s">
        <v>26</v>
      </c>
      <c r="D22" s="18" t="s">
        <v>109</v>
      </c>
      <c r="E22" s="18" t="s">
        <v>118</v>
      </c>
      <c r="F22" s="19" t="str">
        <f aca="false">HYPERLINK("https://eur-lex.europa.eu/legal-content/DE/TXT/?uri=CELEX:32014R0269","Open page")</f>
        <v>Open page</v>
      </c>
      <c r="G22" s="17" t="s">
        <v>82</v>
      </c>
      <c r="H22" s="17" t="s">
        <v>30</v>
      </c>
      <c r="I22" s="18" t="s">
        <v>119</v>
      </c>
      <c r="J22" s="20" t="s">
        <v>120</v>
      </c>
      <c r="K22" s="18" t="s">
        <v>121</v>
      </c>
      <c r="L22" s="18" t="s">
        <v>122</v>
      </c>
      <c r="M22" s="18" t="s">
        <v>123</v>
      </c>
      <c r="N22" s="18" t="s">
        <v>124</v>
      </c>
      <c r="O22" s="18" t="s">
        <v>125</v>
      </c>
      <c r="P22" s="16"/>
    </row>
    <row r="23" customFormat="false" ht="67.5" hidden="false" customHeight="true" outlineLevel="0" collapsed="false">
      <c r="A23" s="11" t="n">
        <v>15</v>
      </c>
      <c r="B23" s="12" t="s">
        <v>15</v>
      </c>
      <c r="C23" s="11" t="s">
        <v>26</v>
      </c>
      <c r="D23" s="13" t="s">
        <v>109</v>
      </c>
      <c r="E23" s="13" t="s">
        <v>126</v>
      </c>
      <c r="F23" s="14" t="str">
        <f aca="false">HYPERLINK("https://eur-lex.europa.eu/legal-content/DE/TXT/?uri=CELEX:32014R0833","Open page")</f>
        <v>Open page</v>
      </c>
      <c r="G23" s="11" t="s">
        <v>82</v>
      </c>
      <c r="H23" s="11" t="s">
        <v>30</v>
      </c>
      <c r="I23" s="13" t="s">
        <v>127</v>
      </c>
      <c r="J23" s="15" t="s">
        <v>128</v>
      </c>
      <c r="K23" s="13" t="s">
        <v>121</v>
      </c>
      <c r="L23" s="13" t="s">
        <v>129</v>
      </c>
      <c r="M23" s="13" t="s">
        <v>130</v>
      </c>
      <c r="N23" s="13" t="s">
        <v>124</v>
      </c>
      <c r="O23" s="13" t="s">
        <v>108</v>
      </c>
      <c r="P23" s="16"/>
    </row>
    <row r="24" customFormat="false" ht="67.5" hidden="false" customHeight="true" outlineLevel="0" collapsed="false">
      <c r="A24" s="17" t="n">
        <v>16</v>
      </c>
      <c r="B24" s="12" t="s">
        <v>15</v>
      </c>
      <c r="C24" s="17" t="s">
        <v>68</v>
      </c>
      <c r="D24" s="18" t="s">
        <v>109</v>
      </c>
      <c r="E24" s="18" t="s">
        <v>131</v>
      </c>
      <c r="F24" s="19" t="str">
        <f aca="false">HYPERLINK("https://eur-lex.europa.eu/legal-content/DE/TXT/?uri=CELEX:32006R0765","Open page")</f>
        <v>Open page</v>
      </c>
      <c r="G24" s="17" t="s">
        <v>82</v>
      </c>
      <c r="H24" s="17" t="s">
        <v>30</v>
      </c>
      <c r="I24" s="18" t="s">
        <v>132</v>
      </c>
      <c r="J24" s="20" t="s">
        <v>133</v>
      </c>
      <c r="K24" s="18" t="s">
        <v>121</v>
      </c>
      <c r="L24" s="18" t="s">
        <v>134</v>
      </c>
      <c r="M24" s="18" t="s">
        <v>135</v>
      </c>
      <c r="N24" s="18" t="s">
        <v>136</v>
      </c>
      <c r="O24" s="18" t="s">
        <v>125</v>
      </c>
      <c r="P24" s="16"/>
    </row>
    <row r="25" customFormat="false" ht="67.5" hidden="false" customHeight="true" outlineLevel="0" collapsed="false">
      <c r="A25" s="11" t="n">
        <v>17</v>
      </c>
      <c r="B25" s="12" t="s">
        <v>15</v>
      </c>
      <c r="C25" s="11" t="s">
        <v>26</v>
      </c>
      <c r="D25" s="13" t="s">
        <v>109</v>
      </c>
      <c r="E25" s="13" t="s">
        <v>137</v>
      </c>
      <c r="F25" s="14" t="str">
        <f aca="false">HYPERLINK("https://www.eba.europa.eu/sites/default/files/2024-11/eaeae49d-81a5-4154-8af9-5014f6ee8881/Final%20Report%20Guidelines%20restrictive%20measures%20.pdf","Open PDF")</f>
        <v>Open PDF</v>
      </c>
      <c r="G25" s="11" t="s">
        <v>5</v>
      </c>
      <c r="H25" s="11" t="s">
        <v>70</v>
      </c>
      <c r="I25" s="13" t="s">
        <v>138</v>
      </c>
      <c r="J25" s="15" t="s">
        <v>139</v>
      </c>
      <c r="K25" s="13" t="s">
        <v>53</v>
      </c>
      <c r="L25" s="13" t="s">
        <v>140</v>
      </c>
      <c r="M25" s="13" t="s">
        <v>141</v>
      </c>
      <c r="N25" s="13"/>
      <c r="O25" s="13" t="s">
        <v>75</v>
      </c>
      <c r="P25" s="16"/>
    </row>
    <row r="26" customFormat="false" ht="67.5" hidden="false" customHeight="true" outlineLevel="0" collapsed="false">
      <c r="A26" s="17" t="n">
        <v>18</v>
      </c>
      <c r="B26" s="12" t="s">
        <v>15</v>
      </c>
      <c r="C26" s="17" t="s">
        <v>26</v>
      </c>
      <c r="D26" s="18" t="s">
        <v>109</v>
      </c>
      <c r="E26" s="18" t="s">
        <v>142</v>
      </c>
      <c r="F26" s="19" t="str">
        <f aca="false">HYPERLINK("https://finance.ec.europa.eu/publications/consolidated-version_en","Open page")</f>
        <v>Open page</v>
      </c>
      <c r="G26" s="17" t="s">
        <v>29</v>
      </c>
      <c r="H26" s="17" t="s">
        <v>70</v>
      </c>
      <c r="I26" s="18" t="s">
        <v>143</v>
      </c>
      <c r="J26" s="20" t="s">
        <v>144</v>
      </c>
      <c r="K26" s="18" t="s">
        <v>105</v>
      </c>
      <c r="L26" s="18" t="s">
        <v>145</v>
      </c>
      <c r="M26" s="18" t="s">
        <v>146</v>
      </c>
      <c r="N26" s="18"/>
      <c r="O26" s="18" t="s">
        <v>147</v>
      </c>
      <c r="P26" s="16"/>
    </row>
    <row r="27" customFormat="false" ht="67.5" hidden="false" customHeight="true" outlineLevel="0" collapsed="false">
      <c r="A27" s="11" t="n">
        <v>19</v>
      </c>
      <c r="B27" s="12" t="s">
        <v>15</v>
      </c>
      <c r="C27" s="11" t="s">
        <v>68</v>
      </c>
      <c r="D27" s="13" t="s">
        <v>109</v>
      </c>
      <c r="E27" s="13" t="s">
        <v>148</v>
      </c>
      <c r="F27" s="14" t="str">
        <f aca="false">HYPERLINK("https://www.gesetze-im-internet.de/awg_2013/","Open page")</f>
        <v>Open page</v>
      </c>
      <c r="G27" s="11" t="s">
        <v>29</v>
      </c>
      <c r="H27" s="11" t="s">
        <v>30</v>
      </c>
      <c r="I27" s="13" t="s">
        <v>149</v>
      </c>
      <c r="J27" s="15" t="s">
        <v>150</v>
      </c>
      <c r="K27" s="13" t="s">
        <v>33</v>
      </c>
      <c r="L27" s="13" t="s">
        <v>151</v>
      </c>
      <c r="M27" s="13" t="s">
        <v>152</v>
      </c>
      <c r="N27" s="13"/>
      <c r="O27" s="13" t="s">
        <v>36</v>
      </c>
      <c r="P27" s="16"/>
    </row>
    <row r="28" customFormat="false" ht="67.5" hidden="false" customHeight="true" outlineLevel="0" collapsed="false">
      <c r="A28" s="17" t="n">
        <v>20</v>
      </c>
      <c r="B28" s="12" t="s">
        <v>15</v>
      </c>
      <c r="C28" s="17" t="s">
        <v>68</v>
      </c>
      <c r="D28" s="18" t="s">
        <v>109</v>
      </c>
      <c r="E28" s="18" t="s">
        <v>153</v>
      </c>
      <c r="F28" s="19" t="str">
        <f aca="false">HYPERLINK("https://www.gesetze-im-internet.de/awv_2013/AWV.pdf","Open PDF")</f>
        <v>Open PDF</v>
      </c>
      <c r="G28" s="17" t="s">
        <v>5</v>
      </c>
      <c r="H28" s="17" t="s">
        <v>30</v>
      </c>
      <c r="I28" s="18" t="s">
        <v>154</v>
      </c>
      <c r="J28" s="20" t="s">
        <v>155</v>
      </c>
      <c r="K28" s="18" t="s">
        <v>156</v>
      </c>
      <c r="L28" s="18" t="s">
        <v>157</v>
      </c>
      <c r="M28" s="18" t="s">
        <v>158</v>
      </c>
      <c r="N28" s="18" t="s">
        <v>159</v>
      </c>
      <c r="O28" s="18" t="s">
        <v>117</v>
      </c>
      <c r="P28" s="16"/>
    </row>
    <row r="29" customFormat="false" ht="67.5" hidden="false" customHeight="true" outlineLevel="0" collapsed="false">
      <c r="A29" s="11" t="n">
        <v>21</v>
      </c>
      <c r="B29" s="12" t="s">
        <v>15</v>
      </c>
      <c r="C29" s="11" t="s">
        <v>26</v>
      </c>
      <c r="D29" s="13" t="s">
        <v>160</v>
      </c>
      <c r="E29" s="13" t="s">
        <v>161</v>
      </c>
      <c r="F29" s="14" t="str">
        <f aca="false">HYPERLINK("https://www.bundesbank.de/resource/blob/825336/866a68577eb35afee82fbe60c39a4f87/472B63F073F071307366337C94F8C870/2026-06-30-rundschreiben-data.pdf","Open PDF")</f>
        <v>Open PDF</v>
      </c>
      <c r="G29" s="11" t="s">
        <v>5</v>
      </c>
      <c r="H29" s="11" t="s">
        <v>30</v>
      </c>
      <c r="I29" s="13" t="s">
        <v>162</v>
      </c>
      <c r="J29" s="15" t="s">
        <v>163</v>
      </c>
      <c r="K29" s="13" t="s">
        <v>40</v>
      </c>
      <c r="L29" s="13" t="s">
        <v>164</v>
      </c>
      <c r="M29" s="13" t="s">
        <v>165</v>
      </c>
      <c r="N29" s="13" t="s">
        <v>166</v>
      </c>
      <c r="O29" s="13" t="s">
        <v>117</v>
      </c>
      <c r="P29" s="16"/>
    </row>
    <row r="30" customFormat="false" ht="67.5" hidden="false" customHeight="true" outlineLevel="0" collapsed="false">
      <c r="A30" s="17" t="n">
        <v>22</v>
      </c>
      <c r="B30" s="12" t="s">
        <v>15</v>
      </c>
      <c r="C30" s="17" t="s">
        <v>26</v>
      </c>
      <c r="D30" s="18" t="s">
        <v>160</v>
      </c>
      <c r="E30" s="18" t="s">
        <v>167</v>
      </c>
      <c r="F30" s="19" t="str">
        <f aca="false">HYPERLINK("https://www.gesetze-im-internet.de/kredwg/KWG.pdf","Open PDF")</f>
        <v>Open PDF</v>
      </c>
      <c r="G30" s="17" t="s">
        <v>5</v>
      </c>
      <c r="H30" s="17" t="s">
        <v>30</v>
      </c>
      <c r="I30" s="18" t="s">
        <v>168</v>
      </c>
      <c r="J30" s="20" t="s">
        <v>169</v>
      </c>
      <c r="K30" s="18" t="s">
        <v>33</v>
      </c>
      <c r="L30" s="18" t="s">
        <v>170</v>
      </c>
      <c r="M30" s="18" t="s">
        <v>171</v>
      </c>
      <c r="N30" s="18" t="s">
        <v>172</v>
      </c>
      <c r="O30" s="18" t="s">
        <v>117</v>
      </c>
      <c r="P30" s="16"/>
    </row>
    <row r="31" customFormat="false" ht="67.5" hidden="false" customHeight="true" outlineLevel="0" collapsed="false">
      <c r="A31" s="11" t="n">
        <v>23</v>
      </c>
      <c r="B31" s="12" t="s">
        <v>15</v>
      </c>
      <c r="C31" s="11" t="s">
        <v>68</v>
      </c>
      <c r="D31" s="13" t="s">
        <v>160</v>
      </c>
      <c r="E31" s="13" t="s">
        <v>173</v>
      </c>
      <c r="F31" s="14" t="str">
        <f aca="false">HYPERLINK("https://eba.europa.eu/activities/single-rulebook/regulatory-activities/internal-governance/guidelines-internal-governance-under-crd","Open page")</f>
        <v>Open page</v>
      </c>
      <c r="G31" s="11" t="s">
        <v>29</v>
      </c>
      <c r="H31" s="11" t="s">
        <v>30</v>
      </c>
      <c r="I31" s="13" t="s">
        <v>174</v>
      </c>
      <c r="J31" s="15" t="s">
        <v>175</v>
      </c>
      <c r="K31" s="13" t="s">
        <v>53</v>
      </c>
      <c r="L31" s="13" t="s">
        <v>176</v>
      </c>
      <c r="M31" s="13" t="s">
        <v>177</v>
      </c>
      <c r="N31" s="13"/>
      <c r="O31" s="13" t="s">
        <v>178</v>
      </c>
      <c r="P31" s="16"/>
    </row>
    <row r="32" customFormat="false" ht="67.5" hidden="false" customHeight="true" outlineLevel="0" collapsed="false">
      <c r="A32" s="17" t="n">
        <v>24</v>
      </c>
      <c r="B32" s="12" t="s">
        <v>15</v>
      </c>
      <c r="C32" s="17" t="s">
        <v>68</v>
      </c>
      <c r="D32" s="18" t="s">
        <v>160</v>
      </c>
      <c r="E32" s="18" t="s">
        <v>179</v>
      </c>
      <c r="F32" s="19" t="str">
        <f aca="false">HYPERLINK("https://www.gesetze-im-internet.de/hinschg/HinSchG.pdf","Open PDF")</f>
        <v>Open PDF</v>
      </c>
      <c r="G32" s="17" t="s">
        <v>5</v>
      </c>
      <c r="H32" s="17" t="s">
        <v>30</v>
      </c>
      <c r="I32" s="18" t="s">
        <v>180</v>
      </c>
      <c r="J32" s="20" t="s">
        <v>181</v>
      </c>
      <c r="K32" s="18" t="s">
        <v>33</v>
      </c>
      <c r="L32" s="18" t="s">
        <v>182</v>
      </c>
      <c r="M32" s="18" t="s">
        <v>183</v>
      </c>
      <c r="N32" s="18" t="s">
        <v>184</v>
      </c>
      <c r="O32" s="18" t="s">
        <v>117</v>
      </c>
      <c r="P32" s="16"/>
    </row>
    <row r="33" customFormat="false" ht="67.5" hidden="false" customHeight="true" outlineLevel="0" collapsed="false">
      <c r="A33" s="11" t="n">
        <v>25</v>
      </c>
      <c r="B33" s="12" t="s">
        <v>15</v>
      </c>
      <c r="C33" s="11" t="s">
        <v>68</v>
      </c>
      <c r="D33" s="13" t="s">
        <v>160</v>
      </c>
      <c r="E33" s="13" t="s">
        <v>185</v>
      </c>
      <c r="F33" s="14" t="str">
        <f aca="false">HYPERLINK("https://eur-lex.europa.eu/legal-content/DE/TXT/?uri=CELEX:32016R0679","Open page")</f>
        <v>Open page</v>
      </c>
      <c r="G33" s="11" t="s">
        <v>82</v>
      </c>
      <c r="H33" s="11" t="s">
        <v>30</v>
      </c>
      <c r="I33" s="13" t="s">
        <v>186</v>
      </c>
      <c r="J33" s="15" t="s">
        <v>187</v>
      </c>
      <c r="K33" s="13" t="s">
        <v>85</v>
      </c>
      <c r="L33" s="13" t="s">
        <v>188</v>
      </c>
      <c r="M33" s="13" t="s">
        <v>189</v>
      </c>
      <c r="N33" s="13"/>
      <c r="O33" s="13" t="s">
        <v>125</v>
      </c>
      <c r="P33" s="16"/>
    </row>
    <row r="34" customFormat="false" ht="67.5" hidden="false" customHeight="true" outlineLevel="0" collapsed="false">
      <c r="A34" s="17" t="n">
        <v>26</v>
      </c>
      <c r="B34" s="12" t="s">
        <v>15</v>
      </c>
      <c r="C34" s="17" t="s">
        <v>68</v>
      </c>
      <c r="D34" s="18" t="s">
        <v>160</v>
      </c>
      <c r="E34" s="18" t="s">
        <v>190</v>
      </c>
      <c r="F34" s="19" t="str">
        <f aca="false">HYPERLINK("https://www.gesetze-im-internet.de/bdsg_2018/BDSG.pdf","Open PDF")</f>
        <v>Open PDF</v>
      </c>
      <c r="G34" s="17" t="s">
        <v>5</v>
      </c>
      <c r="H34" s="17" t="s">
        <v>30</v>
      </c>
      <c r="I34" s="18" t="s">
        <v>191</v>
      </c>
      <c r="J34" s="20" t="s">
        <v>192</v>
      </c>
      <c r="K34" s="18" t="s">
        <v>33</v>
      </c>
      <c r="L34" s="18" t="s">
        <v>193</v>
      </c>
      <c r="M34" s="18" t="s">
        <v>194</v>
      </c>
      <c r="N34" s="18" t="s">
        <v>195</v>
      </c>
      <c r="O34" s="18" t="s">
        <v>117</v>
      </c>
      <c r="P34" s="16"/>
    </row>
    <row r="35" customFormat="false" ht="67.5" hidden="false" customHeight="true" outlineLevel="0" collapsed="false">
      <c r="A35" s="11" t="n">
        <v>27</v>
      </c>
      <c r="B35" s="12" t="s">
        <v>15</v>
      </c>
      <c r="C35" s="11" t="s">
        <v>26</v>
      </c>
      <c r="D35" s="13" t="s">
        <v>196</v>
      </c>
      <c r="E35" s="13" t="s">
        <v>197</v>
      </c>
      <c r="F35" s="14" t="str">
        <f aca="false">HYPERLINK("https://eur-lex.europa.eu/eli/reg/2022/2554/oj/deu","Open page")</f>
        <v>Open page</v>
      </c>
      <c r="G35" s="11" t="s">
        <v>82</v>
      </c>
      <c r="H35" s="11" t="s">
        <v>30</v>
      </c>
      <c r="I35" s="13" t="s">
        <v>83</v>
      </c>
      <c r="J35" s="15" t="s">
        <v>198</v>
      </c>
      <c r="K35" s="13" t="s">
        <v>85</v>
      </c>
      <c r="L35" s="13" t="s">
        <v>199</v>
      </c>
      <c r="M35" s="13" t="s">
        <v>200</v>
      </c>
      <c r="N35" s="13"/>
      <c r="O35" s="13" t="s">
        <v>88</v>
      </c>
      <c r="P35" s="16"/>
    </row>
    <row r="36" customFormat="false" ht="67.5" hidden="false" customHeight="true" outlineLevel="0" collapsed="false">
      <c r="A36" s="17" t="n">
        <v>28</v>
      </c>
      <c r="B36" s="12" t="s">
        <v>15</v>
      </c>
      <c r="C36" s="17" t="s">
        <v>68</v>
      </c>
      <c r="D36" s="18" t="s">
        <v>196</v>
      </c>
      <c r="E36" s="18" t="s">
        <v>201</v>
      </c>
      <c r="F36" s="19" t="str">
        <f aca="false">HYPERLINK("https://eur-lex.europa.eu/legal-content/de/TXT/?uri=CELEX%3A32024R1774","Open page")</f>
        <v>Open page</v>
      </c>
      <c r="G36" s="17" t="s">
        <v>82</v>
      </c>
      <c r="H36" s="17" t="s">
        <v>30</v>
      </c>
      <c r="I36" s="18" t="s">
        <v>83</v>
      </c>
      <c r="J36" s="20" t="s">
        <v>202</v>
      </c>
      <c r="K36" s="18" t="s">
        <v>105</v>
      </c>
      <c r="L36" s="18" t="s">
        <v>203</v>
      </c>
      <c r="M36" s="18" t="s">
        <v>204</v>
      </c>
      <c r="N36" s="18"/>
      <c r="O36" s="18" t="s">
        <v>205</v>
      </c>
      <c r="P36" s="16"/>
    </row>
    <row r="37" customFormat="false" ht="67.5" hidden="false" customHeight="true" outlineLevel="0" collapsed="false">
      <c r="A37" s="11" t="n">
        <v>29</v>
      </c>
      <c r="B37" s="12" t="s">
        <v>15</v>
      </c>
      <c r="C37" s="11" t="s">
        <v>68</v>
      </c>
      <c r="D37" s="13" t="s">
        <v>196</v>
      </c>
      <c r="E37" s="13" t="s">
        <v>206</v>
      </c>
      <c r="F37" s="14" t="str">
        <f aca="false">HYPERLINK("https://eur-lex.europa.eu/legal-content/DE/TXT/?uri=CELEX:32024R1772","Open page")</f>
        <v>Open page</v>
      </c>
      <c r="G37" s="11" t="s">
        <v>82</v>
      </c>
      <c r="H37" s="11" t="s">
        <v>30</v>
      </c>
      <c r="I37" s="13" t="s">
        <v>83</v>
      </c>
      <c r="J37" s="15" t="s">
        <v>207</v>
      </c>
      <c r="K37" s="13" t="s">
        <v>105</v>
      </c>
      <c r="L37" s="13" t="s">
        <v>208</v>
      </c>
      <c r="M37" s="13" t="s">
        <v>209</v>
      </c>
      <c r="N37" s="13"/>
      <c r="O37" s="13" t="s">
        <v>210</v>
      </c>
      <c r="P37" s="16"/>
    </row>
    <row r="38" customFormat="false" ht="67.5" hidden="false" customHeight="true" outlineLevel="0" collapsed="false">
      <c r="A38" s="17" t="n">
        <v>30</v>
      </c>
      <c r="B38" s="12" t="s">
        <v>15</v>
      </c>
      <c r="C38" s="17" t="s">
        <v>68</v>
      </c>
      <c r="D38" s="18" t="s">
        <v>196</v>
      </c>
      <c r="E38" s="18" t="s">
        <v>211</v>
      </c>
      <c r="F38" s="19" t="str">
        <f aca="false">HYPERLINK("https://eur-lex.europa.eu/eli/reg_del/2024/1773/oj?locale=de","Open page")</f>
        <v>Open page</v>
      </c>
      <c r="G38" s="17" t="s">
        <v>82</v>
      </c>
      <c r="H38" s="17" t="s">
        <v>30</v>
      </c>
      <c r="I38" s="18" t="s">
        <v>83</v>
      </c>
      <c r="J38" s="20" t="s">
        <v>212</v>
      </c>
      <c r="K38" s="18" t="s">
        <v>105</v>
      </c>
      <c r="L38" s="18" t="s">
        <v>213</v>
      </c>
      <c r="M38" s="18" t="s">
        <v>214</v>
      </c>
      <c r="N38" s="18"/>
      <c r="O38" s="18" t="s">
        <v>205</v>
      </c>
      <c r="P38" s="16"/>
    </row>
    <row r="39" customFormat="false" ht="67.5" hidden="false" customHeight="true" outlineLevel="0" collapsed="false">
      <c r="A39" s="11" t="n">
        <v>31</v>
      </c>
      <c r="B39" s="12" t="s">
        <v>15</v>
      </c>
      <c r="C39" s="11" t="s">
        <v>68</v>
      </c>
      <c r="D39" s="13" t="s">
        <v>196</v>
      </c>
      <c r="E39" s="13" t="s">
        <v>215</v>
      </c>
      <c r="F39" s="14" t="str">
        <f aca="false">HYPERLINK("https://eur-lex.europa.eu/eli/reg/2024/2956/oj?locale=de","Open page")</f>
        <v>Open page</v>
      </c>
      <c r="G39" s="11" t="s">
        <v>82</v>
      </c>
      <c r="H39" s="11" t="s">
        <v>30</v>
      </c>
      <c r="I39" s="13" t="s">
        <v>216</v>
      </c>
      <c r="J39" s="15" t="s">
        <v>217</v>
      </c>
      <c r="K39" s="13" t="s">
        <v>105</v>
      </c>
      <c r="L39" s="13" t="s">
        <v>218</v>
      </c>
      <c r="M39" s="13" t="s">
        <v>219</v>
      </c>
      <c r="N39" s="13"/>
      <c r="O39" s="13" t="s">
        <v>205</v>
      </c>
      <c r="P39" s="16"/>
    </row>
    <row r="40" customFormat="false" ht="67.5" hidden="false" customHeight="true" outlineLevel="0" collapsed="false">
      <c r="A40" s="17" t="n">
        <v>32</v>
      </c>
      <c r="B40" s="12" t="s">
        <v>15</v>
      </c>
      <c r="C40" s="17" t="s">
        <v>68</v>
      </c>
      <c r="D40" s="18" t="s">
        <v>196</v>
      </c>
      <c r="E40" s="18" t="s">
        <v>220</v>
      </c>
      <c r="F40" s="19" t="str">
        <f aca="false">HYPERLINK("https://eur-lex.europa.eu/eli/reg_del/2025/301/oj/deu","Open page")</f>
        <v>Open page</v>
      </c>
      <c r="G40" s="17" t="s">
        <v>82</v>
      </c>
      <c r="H40" s="17" t="s">
        <v>30</v>
      </c>
      <c r="I40" s="18" t="s">
        <v>83</v>
      </c>
      <c r="J40" s="20" t="s">
        <v>221</v>
      </c>
      <c r="K40" s="18" t="s">
        <v>105</v>
      </c>
      <c r="L40" s="18" t="s">
        <v>222</v>
      </c>
      <c r="M40" s="18" t="s">
        <v>223</v>
      </c>
      <c r="N40" s="18"/>
      <c r="O40" s="18" t="s">
        <v>205</v>
      </c>
      <c r="P40" s="16"/>
    </row>
    <row r="41" customFormat="false" ht="67.5" hidden="false" customHeight="true" outlineLevel="0" collapsed="false">
      <c r="A41" s="11" t="n">
        <v>33</v>
      </c>
      <c r="B41" s="12" t="s">
        <v>15</v>
      </c>
      <c r="C41" s="11" t="s">
        <v>68</v>
      </c>
      <c r="D41" s="13" t="s">
        <v>196</v>
      </c>
      <c r="E41" s="13" t="s">
        <v>224</v>
      </c>
      <c r="F41" s="14" t="str">
        <f aca="false">HYPERLINK("https://eur-lex.europa.eu/legal-content/DE/TXT/?uri=oj%3AL_202500302","Open page")</f>
        <v>Open page</v>
      </c>
      <c r="G41" s="11" t="s">
        <v>82</v>
      </c>
      <c r="H41" s="11" t="s">
        <v>30</v>
      </c>
      <c r="I41" s="13" t="s">
        <v>225</v>
      </c>
      <c r="J41" s="15" t="s">
        <v>226</v>
      </c>
      <c r="K41" s="13" t="s">
        <v>105</v>
      </c>
      <c r="L41" s="13" t="s">
        <v>227</v>
      </c>
      <c r="M41" s="13" t="s">
        <v>228</v>
      </c>
      <c r="N41" s="13"/>
      <c r="O41" s="13" t="s">
        <v>205</v>
      </c>
      <c r="P41" s="16"/>
    </row>
    <row r="42" customFormat="false" ht="67.5" hidden="false" customHeight="true" outlineLevel="0" collapsed="false">
      <c r="A42" s="17" t="n">
        <v>34</v>
      </c>
      <c r="B42" s="12" t="s">
        <v>15</v>
      </c>
      <c r="C42" s="17" t="s">
        <v>68</v>
      </c>
      <c r="D42" s="18" t="s">
        <v>196</v>
      </c>
      <c r="E42" s="18" t="s">
        <v>229</v>
      </c>
      <c r="F42" s="19" t="str">
        <f aca="false">HYPERLINK("https://eur-lex.europa.eu/legal-content/DE/TXT/?uri=CELEX%3A32025R0532","Open page")</f>
        <v>Open page</v>
      </c>
      <c r="G42" s="17" t="s">
        <v>82</v>
      </c>
      <c r="H42" s="17" t="s">
        <v>30</v>
      </c>
      <c r="I42" s="18" t="s">
        <v>83</v>
      </c>
      <c r="J42" s="20" t="s">
        <v>230</v>
      </c>
      <c r="K42" s="18" t="s">
        <v>105</v>
      </c>
      <c r="L42" s="18" t="s">
        <v>231</v>
      </c>
      <c r="M42" s="18" t="s">
        <v>232</v>
      </c>
      <c r="N42" s="18"/>
      <c r="O42" s="18" t="s">
        <v>205</v>
      </c>
      <c r="P42" s="16"/>
    </row>
    <row r="43" customFormat="false" ht="67.5" hidden="false" customHeight="true" outlineLevel="0" collapsed="false">
      <c r="A43" s="11" t="n">
        <v>35</v>
      </c>
      <c r="B43" s="12" t="s">
        <v>15</v>
      </c>
      <c r="C43" s="11" t="s">
        <v>68</v>
      </c>
      <c r="D43" s="13" t="s">
        <v>196</v>
      </c>
      <c r="E43" s="13" t="s">
        <v>233</v>
      </c>
      <c r="F43" s="14" t="str">
        <f aca="false">HYPERLINK("https://www.bafin.de/SharedDocs/Downloads/DE/Anlage/Aufsichtsmitteilung/dl_2025_08_21_Aufsichtsmitteilung_Hinweise_Artikel_16_DORA.pdf?__blob=publicationFile&amp;v=3","Open PDF")</f>
        <v>Open PDF</v>
      </c>
      <c r="G43" s="11" t="s">
        <v>5</v>
      </c>
      <c r="H43" s="11" t="s">
        <v>30</v>
      </c>
      <c r="I43" s="13" t="s">
        <v>234</v>
      </c>
      <c r="J43" s="15" t="s">
        <v>235</v>
      </c>
      <c r="K43" s="13" t="s">
        <v>40</v>
      </c>
      <c r="L43" s="13" t="s">
        <v>236</v>
      </c>
      <c r="M43" s="13" t="s">
        <v>237</v>
      </c>
      <c r="N43" s="13"/>
      <c r="O43" s="13" t="s">
        <v>75</v>
      </c>
      <c r="P43" s="16"/>
    </row>
    <row r="44" customFormat="false" ht="67.5" hidden="false" customHeight="true" outlineLevel="0" collapsed="false">
      <c r="A44" s="17" t="n">
        <v>36</v>
      </c>
      <c r="B44" s="12" t="s">
        <v>15</v>
      </c>
      <c r="C44" s="17" t="s">
        <v>26</v>
      </c>
      <c r="D44" s="18" t="s">
        <v>238</v>
      </c>
      <c r="E44" s="18" t="s">
        <v>239</v>
      </c>
      <c r="F44" s="19" t="str">
        <f aca="false">HYPERLINK("https://www.bafin.de/SharedDocs/Downloads/DE/Rundschreiben/dl_rs_0518_MaComp_fassung_februar_2024.pdf?__blob=publicationFile&amp;v=2","Open PDF")</f>
        <v>Open PDF</v>
      </c>
      <c r="G44" s="17" t="s">
        <v>5</v>
      </c>
      <c r="H44" s="17" t="s">
        <v>30</v>
      </c>
      <c r="I44" s="18" t="s">
        <v>240</v>
      </c>
      <c r="J44" s="20" t="s">
        <v>241</v>
      </c>
      <c r="K44" s="18" t="s">
        <v>40</v>
      </c>
      <c r="L44" s="18" t="s">
        <v>242</v>
      </c>
      <c r="M44" s="18" t="s">
        <v>243</v>
      </c>
      <c r="N44" s="18"/>
      <c r="O44" s="18" t="s">
        <v>244</v>
      </c>
      <c r="P44" s="16"/>
    </row>
    <row r="45" customFormat="false" ht="67.5" hidden="false" customHeight="true" outlineLevel="0" collapsed="false">
      <c r="A45" s="11" t="n">
        <v>37</v>
      </c>
      <c r="B45" s="12" t="s">
        <v>15</v>
      </c>
      <c r="C45" s="11" t="s">
        <v>26</v>
      </c>
      <c r="D45" s="13" t="s">
        <v>238</v>
      </c>
      <c r="E45" s="13" t="s">
        <v>245</v>
      </c>
      <c r="F45" s="14" t="str">
        <f aca="false">HYPERLINK("https://www.gesetze-im-internet.de/wphg/WpHG.pdf","Open PDF")</f>
        <v>Open PDF</v>
      </c>
      <c r="G45" s="11" t="s">
        <v>5</v>
      </c>
      <c r="H45" s="11" t="s">
        <v>30</v>
      </c>
      <c r="I45" s="13" t="s">
        <v>246</v>
      </c>
      <c r="J45" s="15" t="s">
        <v>247</v>
      </c>
      <c r="K45" s="13" t="s">
        <v>33</v>
      </c>
      <c r="L45" s="13" t="s">
        <v>248</v>
      </c>
      <c r="M45" s="13" t="s">
        <v>249</v>
      </c>
      <c r="N45" s="13" t="s">
        <v>250</v>
      </c>
      <c r="O45" s="13" t="s">
        <v>117</v>
      </c>
      <c r="P45" s="16"/>
    </row>
    <row r="46" customFormat="false" ht="67.5" hidden="false" customHeight="true" outlineLevel="0" collapsed="false">
      <c r="A46" s="17" t="n">
        <v>38</v>
      </c>
      <c r="B46" s="12" t="s">
        <v>15</v>
      </c>
      <c r="C46" s="17" t="s">
        <v>68</v>
      </c>
      <c r="D46" s="18" t="s">
        <v>238</v>
      </c>
      <c r="E46" s="18" t="s">
        <v>251</v>
      </c>
      <c r="F46" s="19" t="str">
        <f aca="false">HYPERLINK("https://eur-lex.europa.eu/legal-content/DE/TXT/?uri=CELEX:32017R0565","Open page")</f>
        <v>Open page</v>
      </c>
      <c r="G46" s="17" t="s">
        <v>82</v>
      </c>
      <c r="H46" s="17" t="s">
        <v>30</v>
      </c>
      <c r="I46" s="18" t="s">
        <v>83</v>
      </c>
      <c r="J46" s="20" t="s">
        <v>252</v>
      </c>
      <c r="K46" s="18" t="s">
        <v>105</v>
      </c>
      <c r="L46" s="18" t="s">
        <v>253</v>
      </c>
      <c r="M46" s="18" t="s">
        <v>254</v>
      </c>
      <c r="N46" s="18"/>
      <c r="O46" s="18" t="s">
        <v>255</v>
      </c>
      <c r="P46" s="16"/>
    </row>
    <row r="47" customFormat="false" ht="67.5" hidden="false" customHeight="true" outlineLevel="0" collapsed="false">
      <c r="A47" s="11" t="n">
        <v>39</v>
      </c>
      <c r="B47" s="12" t="s">
        <v>15</v>
      </c>
      <c r="C47" s="11" t="s">
        <v>68</v>
      </c>
      <c r="D47" s="13" t="s">
        <v>238</v>
      </c>
      <c r="E47" s="13" t="s">
        <v>256</v>
      </c>
      <c r="F47" s="14" t="str">
        <f aca="false">HYPERLINK("https://eur-lex.europa.eu/legal-content/DE/TXT/?uri=CELEX:32017L0593","Open page")</f>
        <v>Open page</v>
      </c>
      <c r="G47" s="11" t="s">
        <v>82</v>
      </c>
      <c r="H47" s="11" t="s">
        <v>30</v>
      </c>
      <c r="I47" s="13" t="s">
        <v>257</v>
      </c>
      <c r="J47" s="15" t="s">
        <v>258</v>
      </c>
      <c r="K47" s="13" t="s">
        <v>105</v>
      </c>
      <c r="L47" s="13" t="s">
        <v>259</v>
      </c>
      <c r="M47" s="13" t="s">
        <v>260</v>
      </c>
      <c r="N47" s="13"/>
      <c r="O47" s="13" t="s">
        <v>125</v>
      </c>
      <c r="P47" s="16"/>
    </row>
    <row r="48" customFormat="false" ht="67.5" hidden="false" customHeight="true" outlineLevel="0" collapsed="false">
      <c r="A48" s="17" t="n">
        <v>40</v>
      </c>
      <c r="B48" s="12" t="s">
        <v>15</v>
      </c>
      <c r="C48" s="17" t="s">
        <v>68</v>
      </c>
      <c r="D48" s="18" t="s">
        <v>238</v>
      </c>
      <c r="E48" s="18" t="s">
        <v>261</v>
      </c>
      <c r="F48" s="19" t="str">
        <f aca="false">HYPERLINK("https://eur-lex.europa.eu/legal-content/DE/TXT/?uri=CELEX:32014R0596","Open page")</f>
        <v>Open page</v>
      </c>
      <c r="G48" s="17" t="s">
        <v>82</v>
      </c>
      <c r="H48" s="17" t="s">
        <v>30</v>
      </c>
      <c r="I48" s="18" t="s">
        <v>262</v>
      </c>
      <c r="J48" s="20" t="s">
        <v>263</v>
      </c>
      <c r="K48" s="18" t="s">
        <v>85</v>
      </c>
      <c r="L48" s="18" t="s">
        <v>264</v>
      </c>
      <c r="M48" s="18" t="s">
        <v>265</v>
      </c>
      <c r="N48" s="18"/>
      <c r="O48" s="18" t="s">
        <v>266</v>
      </c>
      <c r="P48" s="16"/>
    </row>
    <row r="49" customFormat="false" ht="67.5" hidden="false" customHeight="true" outlineLevel="0" collapsed="false">
      <c r="A49" s="11" t="n">
        <v>41</v>
      </c>
      <c r="B49" s="12" t="s">
        <v>15</v>
      </c>
      <c r="C49" s="11" t="s">
        <v>68</v>
      </c>
      <c r="D49" s="13" t="s">
        <v>238</v>
      </c>
      <c r="E49" s="13" t="s">
        <v>267</v>
      </c>
      <c r="F49" s="14" t="str">
        <f aca="false">HYPERLINK("https://eur-lex.europa.eu/eli/reg_del/2016/957/oj?locale=de","Open page")</f>
        <v>Open page</v>
      </c>
      <c r="G49" s="11" t="s">
        <v>82</v>
      </c>
      <c r="H49" s="11" t="s">
        <v>30</v>
      </c>
      <c r="I49" s="13" t="s">
        <v>268</v>
      </c>
      <c r="J49" s="15" t="s">
        <v>269</v>
      </c>
      <c r="K49" s="13" t="s">
        <v>105</v>
      </c>
      <c r="L49" s="13" t="s">
        <v>270</v>
      </c>
      <c r="M49" s="13" t="s">
        <v>271</v>
      </c>
      <c r="N49" s="13"/>
      <c r="O49" s="13" t="s">
        <v>205</v>
      </c>
      <c r="P49" s="16"/>
    </row>
    <row r="50" customFormat="false" ht="67.5" hidden="false" customHeight="true" outlineLevel="0" collapsed="false">
      <c r="A50" s="17" t="n">
        <v>42</v>
      </c>
      <c r="B50" s="12" t="s">
        <v>15</v>
      </c>
      <c r="C50" s="17" t="s">
        <v>68</v>
      </c>
      <c r="D50" s="18" t="s">
        <v>238</v>
      </c>
      <c r="E50" s="18" t="s">
        <v>272</v>
      </c>
      <c r="F50" s="19" t="str">
        <f aca="false">HYPERLINK("https://www.esma.europa.eu/sites/default/files/2023-04/ESMA35-43-3172_Guidelines_on_certain_aspects_of_the_MiFID_II_suitability_requirements_DE.pdf","Open PDF")</f>
        <v>Open PDF</v>
      </c>
      <c r="G50" s="17" t="s">
        <v>5</v>
      </c>
      <c r="H50" s="17" t="s">
        <v>30</v>
      </c>
      <c r="I50" s="18" t="s">
        <v>273</v>
      </c>
      <c r="J50" s="20" t="s">
        <v>274</v>
      </c>
      <c r="K50" s="18" t="s">
        <v>275</v>
      </c>
      <c r="L50" s="18" t="s">
        <v>276</v>
      </c>
      <c r="M50" s="18" t="s">
        <v>277</v>
      </c>
      <c r="N50" s="18" t="s">
        <v>278</v>
      </c>
      <c r="O50" s="18" t="s">
        <v>117</v>
      </c>
      <c r="P50" s="16"/>
    </row>
    <row r="51" customFormat="false" ht="67.5" hidden="false" customHeight="true" outlineLevel="0" collapsed="false">
      <c r="A51" s="11" t="n">
        <v>43</v>
      </c>
      <c r="B51" s="12" t="s">
        <v>15</v>
      </c>
      <c r="C51" s="11" t="s">
        <v>68</v>
      </c>
      <c r="D51" s="13" t="s">
        <v>238</v>
      </c>
      <c r="E51" s="13" t="s">
        <v>279</v>
      </c>
      <c r="F51" s="14" t="str">
        <f aca="false">HYPERLINK("https://www.esma.europa.eu/sites/default/files/library/esma35-43-3006_gls_on_certain_aspects_of_the_mifid_ii_appropriateness_and_execution-only_requirements_de.pdf","Open PDF")</f>
        <v>Open PDF</v>
      </c>
      <c r="G51" s="11" t="s">
        <v>5</v>
      </c>
      <c r="H51" s="11" t="s">
        <v>30</v>
      </c>
      <c r="I51" s="13" t="s">
        <v>280</v>
      </c>
      <c r="J51" s="15" t="s">
        <v>281</v>
      </c>
      <c r="K51" s="13" t="s">
        <v>275</v>
      </c>
      <c r="L51" s="13" t="s">
        <v>282</v>
      </c>
      <c r="M51" s="13" t="s">
        <v>283</v>
      </c>
      <c r="N51" s="13" t="s">
        <v>284</v>
      </c>
      <c r="O51" s="13" t="s">
        <v>117</v>
      </c>
      <c r="P51" s="16"/>
    </row>
    <row r="52" customFormat="false" ht="67.5" hidden="false" customHeight="true" outlineLevel="0" collapsed="false">
      <c r="A52" s="17" t="n">
        <v>44</v>
      </c>
      <c r="B52" s="12" t="s">
        <v>15</v>
      </c>
      <c r="C52" s="17" t="s">
        <v>68</v>
      </c>
      <c r="D52" s="18" t="s">
        <v>238</v>
      </c>
      <c r="E52" s="18" t="s">
        <v>285</v>
      </c>
      <c r="F52" s="19" t="str">
        <f aca="false">HYPERLINK("https://www.esma.europa.eu/sites/default/files/library/guidelines_on_certain_aspects_of_mifid_ii_compliance_function_requirements_de.pdf","Open PDF")</f>
        <v>Open PDF</v>
      </c>
      <c r="G52" s="17" t="s">
        <v>5</v>
      </c>
      <c r="H52" s="17" t="s">
        <v>30</v>
      </c>
      <c r="I52" s="18" t="s">
        <v>286</v>
      </c>
      <c r="J52" s="20" t="s">
        <v>287</v>
      </c>
      <c r="K52" s="18" t="s">
        <v>275</v>
      </c>
      <c r="L52" s="18" t="s">
        <v>288</v>
      </c>
      <c r="M52" s="18" t="s">
        <v>289</v>
      </c>
      <c r="N52" s="18" t="s">
        <v>290</v>
      </c>
      <c r="O52" s="18" t="s">
        <v>117</v>
      </c>
      <c r="P52" s="16"/>
    </row>
    <row r="53" customFormat="false" ht="67.5" hidden="false" customHeight="true" outlineLevel="0" collapsed="false">
      <c r="A53" s="11" t="n">
        <v>45</v>
      </c>
      <c r="B53" s="12" t="s">
        <v>15</v>
      </c>
      <c r="C53" s="11" t="s">
        <v>68</v>
      </c>
      <c r="D53" s="13" t="s">
        <v>238</v>
      </c>
      <c r="E53" s="13" t="s">
        <v>291</v>
      </c>
      <c r="F53" s="14" t="str">
        <f aca="false">HYPERLINK("https://www.esma.europa.eu/sites/default/files/2023-08/ESMA35-43-3448_Guidelines_on_product_governance_DE.pdf","Open PDF")</f>
        <v>Open PDF</v>
      </c>
      <c r="G53" s="11" t="s">
        <v>5</v>
      </c>
      <c r="H53" s="11" t="s">
        <v>30</v>
      </c>
      <c r="I53" s="13" t="s">
        <v>292</v>
      </c>
      <c r="J53" s="15" t="s">
        <v>293</v>
      </c>
      <c r="K53" s="13" t="s">
        <v>275</v>
      </c>
      <c r="L53" s="13" t="s">
        <v>294</v>
      </c>
      <c r="M53" s="13" t="s">
        <v>295</v>
      </c>
      <c r="N53" s="13"/>
      <c r="O53" s="13" t="s">
        <v>117</v>
      </c>
      <c r="P53" s="16"/>
    </row>
    <row r="54" customFormat="false" ht="67.5" hidden="false" customHeight="true" outlineLevel="0" collapsed="false">
      <c r="A54" s="17" t="n">
        <v>46</v>
      </c>
      <c r="B54" s="12" t="s">
        <v>15</v>
      </c>
      <c r="C54" s="17" t="s">
        <v>68</v>
      </c>
      <c r="D54" s="18" t="s">
        <v>238</v>
      </c>
      <c r="E54" s="18" t="s">
        <v>296</v>
      </c>
      <c r="F54" s="19" t="str">
        <f aca="false">HYPERLINK("https://www.eba.europa.eu/legacy/regulation-and-policy/regulatory-activities/consumer-protection-and-financial-innovation-10","Open page")</f>
        <v>Open page</v>
      </c>
      <c r="G54" s="17" t="s">
        <v>29</v>
      </c>
      <c r="H54" s="17" t="s">
        <v>50</v>
      </c>
      <c r="I54" s="18" t="s">
        <v>297</v>
      </c>
      <c r="J54" s="20" t="s">
        <v>298</v>
      </c>
      <c r="K54" s="18" t="s">
        <v>299</v>
      </c>
      <c r="L54" s="18" t="s">
        <v>300</v>
      </c>
      <c r="M54" s="18" t="s">
        <v>301</v>
      </c>
      <c r="N54" s="18"/>
      <c r="O54" s="18" t="s">
        <v>178</v>
      </c>
      <c r="P54" s="16"/>
    </row>
    <row r="55" customFormat="false" ht="67.5" hidden="false" customHeight="true" outlineLevel="0" collapsed="false">
      <c r="A55" s="11" t="n">
        <v>47</v>
      </c>
      <c r="B55" s="12" t="s">
        <v>15</v>
      </c>
      <c r="C55" s="11" t="s">
        <v>68</v>
      </c>
      <c r="D55" s="13" t="s">
        <v>302</v>
      </c>
      <c r="E55" s="13" t="s">
        <v>303</v>
      </c>
      <c r="F55" s="14" t="str">
        <f aca="false">HYPERLINK("https://www.gesetze-im-internet.de/zkg/","Open page")</f>
        <v>Open page</v>
      </c>
      <c r="G55" s="11" t="s">
        <v>29</v>
      </c>
      <c r="H55" s="11" t="s">
        <v>30</v>
      </c>
      <c r="I55" s="13" t="s">
        <v>304</v>
      </c>
      <c r="J55" s="15" t="s">
        <v>305</v>
      </c>
      <c r="K55" s="13" t="s">
        <v>33</v>
      </c>
      <c r="L55" s="13" t="s">
        <v>306</v>
      </c>
      <c r="M55" s="13" t="s">
        <v>307</v>
      </c>
      <c r="N55" s="13"/>
      <c r="O55" s="13" t="s">
        <v>36</v>
      </c>
      <c r="P55" s="16"/>
    </row>
    <row r="56" customFormat="false" ht="67.5" hidden="false" customHeight="true" outlineLevel="0" collapsed="false">
      <c r="A56" s="17" t="n">
        <v>48</v>
      </c>
      <c r="B56" s="12" t="s">
        <v>15</v>
      </c>
      <c r="C56" s="17" t="s">
        <v>68</v>
      </c>
      <c r="D56" s="18" t="s">
        <v>302</v>
      </c>
      <c r="E56" s="18" t="s">
        <v>308</v>
      </c>
      <c r="F56" s="19" t="str">
        <f aca="false">HYPERLINK("https://www.gesetze-im-internet.de/zag_2018/","Open page")</f>
        <v>Open page</v>
      </c>
      <c r="G56" s="17" t="s">
        <v>29</v>
      </c>
      <c r="H56" s="17" t="s">
        <v>30</v>
      </c>
      <c r="I56" s="18" t="s">
        <v>309</v>
      </c>
      <c r="J56" s="20" t="s">
        <v>310</v>
      </c>
      <c r="K56" s="18" t="s">
        <v>33</v>
      </c>
      <c r="L56" s="18" t="s">
        <v>311</v>
      </c>
      <c r="M56" s="18" t="s">
        <v>312</v>
      </c>
      <c r="N56" s="18"/>
      <c r="O56" s="18" t="s">
        <v>36</v>
      </c>
      <c r="P56" s="16"/>
    </row>
    <row r="57" customFormat="false" ht="67.5" hidden="false" customHeight="true" outlineLevel="0" collapsed="false">
      <c r="A57" s="11" t="n">
        <v>49</v>
      </c>
      <c r="B57" s="12" t="s">
        <v>15</v>
      </c>
      <c r="C57" s="11" t="s">
        <v>26</v>
      </c>
      <c r="D57" s="13" t="s">
        <v>302</v>
      </c>
      <c r="E57" s="13" t="s">
        <v>313</v>
      </c>
      <c r="F57" s="14" t="str">
        <f aca="false">HYPERLINK("https://www.gesetze-im-internet.de/bgb/BGB.pdf","Open PDF")</f>
        <v>Open PDF</v>
      </c>
      <c r="G57" s="11" t="s">
        <v>5</v>
      </c>
      <c r="H57" s="11" t="s">
        <v>30</v>
      </c>
      <c r="I57" s="13" t="s">
        <v>314</v>
      </c>
      <c r="J57" s="15" t="s">
        <v>315</v>
      </c>
      <c r="K57" s="13" t="s">
        <v>33</v>
      </c>
      <c r="L57" s="13" t="s">
        <v>316</v>
      </c>
      <c r="M57" s="13" t="s">
        <v>317</v>
      </c>
      <c r="N57" s="13" t="s">
        <v>318</v>
      </c>
      <c r="O57" s="13" t="s">
        <v>117</v>
      </c>
      <c r="P57" s="16"/>
    </row>
    <row r="58" customFormat="false" ht="67.5" hidden="false" customHeight="true" outlineLevel="0" collapsed="false">
      <c r="A58" s="17" t="n">
        <v>50</v>
      </c>
      <c r="B58" s="12" t="s">
        <v>15</v>
      </c>
      <c r="C58" s="17" t="s">
        <v>68</v>
      </c>
      <c r="D58" s="18" t="s">
        <v>302</v>
      </c>
      <c r="E58" s="18" t="s">
        <v>319</v>
      </c>
      <c r="F58" s="19" t="str">
        <f aca="false">HYPERLINK("https://eur-lex.europa.eu/eli/reg/2024/886/oj?locale=de","Open page")</f>
        <v>Open page</v>
      </c>
      <c r="G58" s="17" t="s">
        <v>82</v>
      </c>
      <c r="H58" s="17" t="s">
        <v>30</v>
      </c>
      <c r="I58" s="18" t="s">
        <v>320</v>
      </c>
      <c r="J58" s="20" t="s">
        <v>321</v>
      </c>
      <c r="K58" s="18" t="s">
        <v>85</v>
      </c>
      <c r="L58" s="18" t="s">
        <v>322</v>
      </c>
      <c r="M58" s="18" t="s">
        <v>323</v>
      </c>
      <c r="N58" s="18"/>
      <c r="O58" s="18" t="s">
        <v>205</v>
      </c>
      <c r="P58" s="16"/>
    </row>
  </sheetData>
  <conditionalFormatting sqref="B9:B58">
    <cfRule type="containsText" priority="2" operator="containsText" aboveAverage="0" equalAverage="0" bottom="0" percent="0" rank="0" text="Saved" dxfId="8">
      <formula>NOT(ISERROR(SEARCH("Saved",B9)))</formula>
    </cfRule>
    <cfRule type="containsText" priority="3" operator="containsText" aboveAverage="0" equalAverage="0" bottom="0" percent="0" rank="0" text="Query" dxfId="9">
      <formula>NOT(ISERROR(SEARCH("Query",B9)))</formula>
    </cfRule>
  </conditionalFormatting>
  <conditionalFormatting sqref="C9:C58">
    <cfRule type="beginsWith" priority="4" operator="beginsWith" aboveAverage="0" equalAverage="0" bottom="0" percent="0" rank="0" text="1" dxfId="10">
      <formula>LEFT(C9,LEN("1"))="1"</formula>
    </cfRule>
  </conditionalFormatting>
  <dataValidations count="1">
    <dataValidation allowBlank="false" errorStyle="stop" operator="between" showDropDown="false" showErrorMessage="false" showInputMessage="false" sqref="B9:B58" type="list">
      <formula1>"Open,Saved,Query"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44BC9B04415FA458E048E59ADEF1295" ma:contentTypeVersion="19" ma:contentTypeDescription="Ein neues Dokument erstellen." ma:contentTypeScope="" ma:versionID="7244adeb28c713ef7dfd08590af3b03f">
  <xsd:schema xmlns:xsd="http://www.w3.org/2001/XMLSchema" xmlns:xs="http://www.w3.org/2001/XMLSchema" xmlns:p="http://schemas.microsoft.com/office/2006/metadata/properties" xmlns:ns2="a06d64c5-e1c9-480b-ba01-eba7f88281db" xmlns:ns3="104570a0-3e47-4721-a626-577b15fd57cf" targetNamespace="http://schemas.microsoft.com/office/2006/metadata/properties" ma:root="true" ma:fieldsID="4740db8c5ce80e029fed94bc879d4775" ns2:_="" ns3:_="">
    <xsd:import namespace="a06d64c5-e1c9-480b-ba01-eba7f88281db"/>
    <xsd:import namespace="104570a0-3e47-4721-a626-577b15fd57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d64c5-e1c9-480b-ba01-eba7f88281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5df18867-ed36-4543-b653-170f220916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tatus Unterschrift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570a0-3e47-4721-a626-577b15fd57c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650a76-10a3-4041-ab69-251ea1e69446}" ma:internalName="TaxCatchAll" ma:showField="CatchAllData" ma:web="104570a0-3e47-4721-a626-577b15fd5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6d64c5-e1c9-480b-ba01-eba7f88281db">
      <Terms xmlns="http://schemas.microsoft.com/office/infopath/2007/PartnerControls"/>
    </lcf76f155ced4ddcb4097134ff3c332f>
    <TaxCatchAll xmlns="104570a0-3e47-4721-a626-577b15fd57cf" xsi:nil="true"/>
    <_Flow_SignoffStatus xmlns="a06d64c5-e1c9-480b-ba01-eba7f88281db" xsi:nil="true"/>
  </documentManagement>
</p:properties>
</file>

<file path=customXml/itemProps1.xml><?xml version="1.0" encoding="utf-8"?>
<ds:datastoreItem xmlns:ds="http://schemas.openxmlformats.org/officeDocument/2006/customXml" ds:itemID="{3142DCEE-7DBF-40EA-A901-5F1A9D3B4E03}"/>
</file>

<file path=customXml/itemProps2.xml><?xml version="1.0" encoding="utf-8"?>
<ds:datastoreItem xmlns:ds="http://schemas.openxmlformats.org/officeDocument/2006/customXml" ds:itemID="{F29A428B-7AE4-44CE-A278-7175F9C624F6}"/>
</file>

<file path=customXml/itemProps3.xml><?xml version="1.0" encoding="utf-8"?>
<ds:datastoreItem xmlns:ds="http://schemas.openxmlformats.org/officeDocument/2006/customXml" ds:itemID="{EA5657C9-803F-4BAC-806F-1FCFC79DDB2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2026-09-24T08:33:12Z</dcterms:created>
  <dcterms:modified xsi:type="dcterms:W3CDTF">2026-09-24T08:33:34Z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0x010100444BC9B04415FA458E048E59ADEF1295</vt:lpwstr>
  </property>
</Properties>
</file>