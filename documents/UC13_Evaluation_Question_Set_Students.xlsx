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Question set" sheetId="2" state="visible" r:id="rId4"/>
    <sheet name="Scoring" sheetId="3" state="visible" r:id="rId5"/>
  </sheets>
  <definedNames>
    <definedName function="false" hidden="true" localSheetId="1" name="_xlnm._FilterDatabase" vbProcedure="false">'Question set'!$A$1:$H$33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<sst xmlns="http://schemas.openxmlformats.org/spreadsheetml/2006/main" count="260" uniqueCount="204">
  <si>
    <t xml:space="preserve">Use Case 13: Private RAG Assistant for Banking</t>
  </si>
  <si>
    <t xml:space="preserve">Evaluation question set, SPG Innovation Challenge 2026</t>
  </si>
  <si>
    <t xml:space="preserve">Purpose</t>
  </si>
  <si>
    <t xml:space="preserve">Use these questions to measure how well your assistant answers. Target: at least 85% accuracy on the question set.</t>
  </si>
  <si>
    <t xml:space="preserve">How to score an answer</t>
  </si>
  <si>
    <t xml:space="preserve">1 = correct: covers the key points in the expected answer and contains no wrong statement.</t>
  </si>
  <si>
    <t xml:space="preserve">0.5 = partly correct: some key points missing, nothing wrong or invented.</t>
  </si>
  <si>
    <t xml:space="preserve">0 = wrong, missing, or contains invented facts, numbers or sources.</t>
  </si>
  <si>
    <t xml:space="preserve">Out-of-scope questions score 1 only if the assistant states that the corpus does not cover the question and invents nothing.</t>
  </si>
  <si>
    <t xml:space="preserve">Sources</t>
  </si>
  <si>
    <t xml:space="preserve">An answer counts as cited when it names the document and the section or article it relies on, and that passage actually supports the statement. Aim for at least two cited passages per answer wherever the corpus offers them.</t>
  </si>
  <si>
    <t xml:space="preserve">Things to know</t>
  </si>
  <si>
    <t xml:space="preserve">The questions are in English, most documents in the corpus are in German. Your assistant may answer in English.</t>
  </si>
  <si>
    <t xml:space="preserve">Expected answers list key points, not exact wording. Section numbers refer to the versions in the corpus. If a consolidated version in the corpus differs, the corpus wins.</t>
  </si>
  <si>
    <t xml:space="preserve">For the final evaluation SPG uses additional questions that are not shared in advance. Build for the subject area, not for these exact questions.</t>
  </si>
  <si>
    <t xml:space="preserve">Sheets</t>
  </si>
  <si>
    <t xml:space="preserve">Question set: questions, expected key points and expected sources.</t>
  </si>
  <si>
    <t xml:space="preserve">Scoring: paste your assistant's answers, enter the scores (yellow cells), accuracy is calculated automatically.</t>
  </si>
  <si>
    <t xml:space="preserve">ID</t>
  </si>
  <si>
    <t xml:space="preserve">Topic</t>
  </si>
  <si>
    <t xml:space="preserve">Question</t>
  </si>
  <si>
    <t xml:space="preserve">Type</t>
  </si>
  <si>
    <t xml:space="preserve">Difficulty (1-3)</t>
  </si>
  <si>
    <t xml:space="preserve">Expected answer (key points)</t>
  </si>
  <si>
    <t xml:space="preserve">Expected source(s)</t>
  </si>
  <si>
    <t xml:space="preserve">Key terms (DE)</t>
  </si>
  <si>
    <t xml:space="preserve">Q01</t>
  </si>
  <si>
    <t xml:space="preserve">Money laundering / KYC</t>
  </si>
  <si>
    <t xml:space="preserve">Under the German Money Laundering Act, in which situations must a bank carry out customer due diligence?</t>
  </si>
  <si>
    <t xml:space="preserve">Fact</t>
  </si>
  <si>
    <t xml:space="preserve">1) When establishing a business relationship. 2) For transactions outside an existing business relationship from EUR 15,000 (lower thresholds apply to transfers of funds). 3) When facts indicate money laundering or terrorist financing. 4) When there are doubts about the identity information provided.</t>
  </si>
  <si>
    <t xml:space="preserve">01_GwG.pdf, section 10(3)</t>
  </si>
  <si>
    <t xml:space="preserve">Allgemeine Sorgfaltspflichten, Geschäftsbeziehung, Transaktion</t>
  </si>
  <si>
    <t xml:space="preserve">Q02</t>
  </si>
  <si>
    <t xml:space="preserve">When is a natural person considered the beneficial owner of a company under the GwG?</t>
  </si>
  <si>
    <t xml:space="preserve">A natural person who directly or indirectly holds more than 25% of the capital or voting rights, or exercises control in a comparable way. If no such person can be identified, the legal representative or managing director is treated as fictitious beneficial owner.</t>
  </si>
  <si>
    <t xml:space="preserve">01_GwG.pdf, section 3(2)</t>
  </si>
  <si>
    <t xml:space="preserve">wirtschaftlich Berechtigter, fiktiver wirtschaftlich Berechtigter</t>
  </si>
  <si>
    <t xml:space="preserve">Q03</t>
  </si>
  <si>
    <t xml:space="preserve">How long must a bank retain the records it collects under its due diligence obligations?</t>
  </si>
  <si>
    <t xml:space="preserve">At least five years, and destroyed no later than ten years. The period starts at the end of the calendar year in which the business relationship ends (or the transaction is carried out).</t>
  </si>
  <si>
    <t xml:space="preserve">01_GwG.pdf, section 8(4)</t>
  </si>
  <si>
    <t xml:space="preserve">Aufzeichnungs- und Aufbewahrungspflicht</t>
  </si>
  <si>
    <t xml:space="preserve">Q04</t>
  </si>
  <si>
    <t xml:space="preserve">A bank employee suspects that a customer payment is linked to money laundering. To whom must the bank report, and how quickly?</t>
  </si>
  <si>
    <t xml:space="preserve">Multi-document</t>
  </si>
  <si>
    <t xml:space="preserve">Report to the Financial Intelligence Unit (FIU) without delay (unverzüglich), regardless of the amount involved. BaFin/FIU guidance explains that the report must be filed promptly once the facts indicating suspicion are known, and must be complete.</t>
  </si>
  <si>
    <t xml:space="preserve">01_GwG.pdf, section 43(1); 10_BaFin_FIU_Verdachtsmeldungen.pdf</t>
  </si>
  <si>
    <t xml:space="preserve">Verdachtsmeldung, unverzüglich, FIU</t>
  </si>
  <si>
    <t xml:space="preserve">Q05</t>
  </si>
  <si>
    <t xml:space="preserve">After filing a suspicious activity report, may the bank execute the reported transaction straight away?</t>
  </si>
  <si>
    <t xml:space="preserve">No. The transaction may only be executed with the consent of the FIU or the public prosecutor, or once the third working day after the report was sent has passed without the transaction being prohibited (Saturdays do not count as working days). Exception: if postponing is impossible or would hinder the investigation, the bank may execute and report immediately afterwards.</t>
  </si>
  <si>
    <t xml:space="preserve">01_GwG.pdf, section 46</t>
  </si>
  <si>
    <t xml:space="preserve">Fristfall, dritter Werktag, Durchführung von Transaktionen</t>
  </si>
  <si>
    <t xml:space="preserve">Q06</t>
  </si>
  <si>
    <t xml:space="preserve">May a bank tell its customer that it has filed a suspicious activity report about them?</t>
  </si>
  <si>
    <t xml:space="preserve">No. The prohibition of disclosure (tipping off) forbids informing the customer or third parties about a planned or filed report or a resulting investigation. Narrow exceptions exist, e.g. for information to authorities and certain information sharing within the group.</t>
  </si>
  <si>
    <t xml:space="preserve">01_GwG.pdf, section 47</t>
  </si>
  <si>
    <t xml:space="preserve">Verbot der Informationsweitergabe</t>
  </si>
  <si>
    <t xml:space="preserve">Q07</t>
  </si>
  <si>
    <t xml:space="preserve">Which enhanced due diligence measures apply when the customer is a politically exposed person (PEP)?</t>
  </si>
  <si>
    <t xml:space="preserve">1) Approval by senior management to establish or continue the relationship. 2) Measures to establish the source of wealth and source of funds. 3) Enhanced ongoing monitoring of the business relationship. EBA risk factor guidelines describe further risk factors and measures.</t>
  </si>
  <si>
    <t xml:space="preserve">01_GwG.pdf, section 15(3) and (4); 04_EBA_Risikofaktoren.pdf</t>
  </si>
  <si>
    <t xml:space="preserve">politisch exponierte Person, verstärkte Sorgfaltspflichten, Herkunft der Vermögenswerte</t>
  </si>
  <si>
    <t xml:space="preserve">Q08</t>
  </si>
  <si>
    <t xml:space="preserve">Which document determines whether a country is a high-risk third country, and what does that mean for a German bank?</t>
  </si>
  <si>
    <t xml:space="preserve">The EU list in Delegated Regulation (EU) 2016/1675 (latest consolidated version, the list changes over time). For business relationships or transactions involving such countries, the GwG requires enhanced due diligence measures.</t>
  </si>
  <si>
    <t xml:space="preserve">12_EU_Hochrisikodrittstaaten.pdf; 01_GwG.pdf, section 15(3) and (5)</t>
  </si>
  <si>
    <t xml:space="preserve">Drittstaat mit hohem Risiko, verstärkte Sorgfaltspflichten</t>
  </si>
  <si>
    <t xml:space="preserve">Q09</t>
  </si>
  <si>
    <t xml:space="preserve">Who in a bank must be responsible for AML/CFT, and at which level?</t>
  </si>
  <si>
    <t xml:space="preserve">A money laundering officer (Geldwäschebeauftragter) at management level plus a deputy must be appointed (GwG). EBA guidelines additionally require a member of the management body to be responsible for AML/CFT and an AML/CFT compliance officer with sufficient seniority, resources and direct reporting line.</t>
  </si>
  <si>
    <t xml:space="preserve">01_GwG.pdf, section 7(1); 05_EBA_AML_Compliance_Officer.pdf</t>
  </si>
  <si>
    <t xml:space="preserve">Geldwäschebeauftragter, Führungsebene, Stellvertreter</t>
  </si>
  <si>
    <t xml:space="preserve">Q10</t>
  </si>
  <si>
    <t xml:space="preserve">What must a bank do before it starts using a remote customer onboarding solution?</t>
  </si>
  <si>
    <t xml:space="preserve">Have documented policies and procedures for remote onboarding and carry out a pre-implementation assessment of the solution (adequacy, reliability of data and documents, risks). After going live the solution must be monitored and reviewed on an ongoing basis.</t>
  </si>
  <si>
    <t xml:space="preserve">06_EBA_Remote_Onboarding.pdf</t>
  </si>
  <si>
    <t xml:space="preserve">Fernidentifizierung, Bewertung vor Einführung</t>
  </si>
  <si>
    <t xml:space="preserve">Q11</t>
  </si>
  <si>
    <t xml:space="preserve">Which information about the payer and the payee must accompany a transfer of funds?</t>
  </si>
  <si>
    <t xml:space="preserve">Payer: name, payment account number, address including country, official personal document number, customer identification number or date and place of birth, and the LEI where available. Payee: name, payment account number and LEI where available. Simplified rules apply within the EU.</t>
  </si>
  <si>
    <t xml:space="preserve">09_EU_Geldtransfer_2023_1113.pdf, Article 4 (and 5, 6)</t>
  </si>
  <si>
    <t xml:space="preserve">Angaben zum Auftraggeber, Angaben zum Begünstigten</t>
  </si>
  <si>
    <t xml:space="preserve">Q12</t>
  </si>
  <si>
    <t xml:space="preserve">Sanctions</t>
  </si>
  <si>
    <t xml:space="preserve">What does an asset freeze under the EU Russia/Ukraine sanctions mean for a bank holding an account of a listed person?</t>
  </si>
  <si>
    <t xml:space="preserve">All funds and economic resources belonging to, owned, held or controlled by the listed person must be frozen. In addition, no funds or economic resources may be made available to the listed person, directly or indirectly.</t>
  </si>
  <si>
    <t xml:space="preserve">14_EU_Sanktionen_269_2014.pdf, Article 2</t>
  </si>
  <si>
    <t xml:space="preserve">Einfrieren, Bereitstellungsverbot</t>
  </si>
  <si>
    <t xml:space="preserve">Q13</t>
  </si>
  <si>
    <t xml:space="preserve">A company is 60% owned by a sanctioned person but is not listed itself. May the bank pay out funds to the company?</t>
  </si>
  <si>
    <t xml:space="preserve">Generally no. If a listed person owns more than 50% of an entity, the entity is presumed to be owned or controlled by that person, and making funds available to it counts as indirectly making funds available to the listed person. Control can also exist without majority ownership.</t>
  </si>
  <si>
    <t xml:space="preserve">13_Bundesbank_Finanzsanktionen_FAQ.pdf; 18_EU_Kommission_Sanktions_FAQ.pdf; 14_EU_Sanktionen_269_2014.pdf</t>
  </si>
  <si>
    <t xml:space="preserve">Eigentum und Kontrolle, mittelbare Bereitstellung</t>
  </si>
  <si>
    <t xml:space="preserve">Q14</t>
  </si>
  <si>
    <t xml:space="preserve">May a German bank accept new deposits from a Russian national living in Moscow?</t>
  </si>
  <si>
    <t xml:space="preserve">Not if the total value of that person's deposits at the credit institution exceeds EUR 100,000. The restriction applies to Russian nationals, natural persons residing in Russia and legal persons established in Russia. Exceptions apply to EU/EEA/Swiss nationals and holders of a residence permit in those countries.</t>
  </si>
  <si>
    <t xml:space="preserve">15_EU_Sanktionen_833_2014.pdf, Article 5b</t>
  </si>
  <si>
    <t xml:space="preserve">Einlagenverbot, 100.000 Euro</t>
  </si>
  <si>
    <t xml:space="preserve">Q15</t>
  </si>
  <si>
    <t xml:space="preserve">Which authority is responsible for financial sanctions in Germany, and what must a bank report to it?</t>
  </si>
  <si>
    <t xml:space="preserve">The Deutsche Bundesbank (Servicezentrum Finanzsanktionen). The bank must provide information that facilitates compliance, in particular on frozen accounts and amounts, within the deadline set in the sanctions regulation.</t>
  </si>
  <si>
    <t xml:space="preserve">13_Bundesbank_Finanzsanktionen_FAQ.pdf; 14_EU_Sanktionen_269_2014.pdf, Article 8</t>
  </si>
  <si>
    <t xml:space="preserve">zuständige Behörde, Meldung eingefrorener Gelder</t>
  </si>
  <si>
    <t xml:space="preserve">Q16</t>
  </si>
  <si>
    <t xml:space="preserve">Which payments with foreign counterparties must be reported to the Deutsche Bundesbank?</t>
  </si>
  <si>
    <t xml:space="preserve">Residents must report payments they receive from or make to foreign parties exceeding EUR 12,500 (or the equivalent). Certain payments are exempt, e.g. payments for the import or export of goods.</t>
  </si>
  <si>
    <t xml:space="preserve">20_AWV.pdf, section 67</t>
  </si>
  <si>
    <t xml:space="preserve">Meldepflicht im Zahlungsverkehr, 12.500 Euro</t>
  </si>
  <si>
    <t xml:space="preserve">Q17</t>
  </si>
  <si>
    <t xml:space="preserve">What do the EBA guidelines on restrictive measures require from banks, and since when do they apply?</t>
  </si>
  <si>
    <t xml:space="preserve">Applicable since 30 December 2025. Banks need policies, procedures and governance for compliance with restrictive measures (including a responsible member of the management body), a sanctions exposure assessment, and screening of customers. The second set of guidelines covers screening of transfers of funds.</t>
  </si>
  <si>
    <t xml:space="preserve">17_EBA_Sanktionsleitlinien.pdf</t>
  </si>
  <si>
    <t xml:space="preserve">restriktive Maßnahmen, Screening</t>
  </si>
  <si>
    <t xml:space="preserve">Q18</t>
  </si>
  <si>
    <t xml:space="preserve">Organisation / data protection</t>
  </si>
  <si>
    <t xml:space="preserve">On which legal provision is MaRisk based, and does it apply equally to all banks?</t>
  </si>
  <si>
    <t xml:space="preserve">MaRisk specifies the requirements for proper business organisation and risk management in section 25a KWG. It follows the principle of proportionality: requirements are applied according to size, complexity and risk profile of the institution.</t>
  </si>
  <si>
    <t xml:space="preserve">21_MaRisk_06_2026.pdf, AT 1; 22_KWG.pdf, section 25a</t>
  </si>
  <si>
    <t xml:space="preserve">Proportionalität, ordnungsgemäße Geschäftsorganisation</t>
  </si>
  <si>
    <t xml:space="preserve">Q19</t>
  </si>
  <si>
    <t xml:space="preserve">What are the tasks of the compliance function under MaRisk?</t>
  </si>
  <si>
    <t xml:space="preserve">Identify material legal rules whose non-compliance could endanger the institution's assets, work towards effective procedures and controls to comply with them, and report to management at least annually and ad hoc.</t>
  </si>
  <si>
    <t xml:space="preserve">21_MaRisk_06_2026.pdf, AT 4.4.2</t>
  </si>
  <si>
    <t xml:space="preserve">Compliance-Funktion, wesentliche rechtliche Regelungen</t>
  </si>
  <si>
    <t xml:space="preserve">Q20</t>
  </si>
  <si>
    <t xml:space="preserve">Which provision obliges banks to operate IT systems that detect suspicious transactions?</t>
  </si>
  <si>
    <t xml:space="preserve">Section 25h(2) KWG: institutions must operate data processing systems that identify business relationships and transactions which are unusual or suspicious with regard to money laundering or terrorist financing.</t>
  </si>
  <si>
    <t xml:space="preserve">22_KWG.pdf, section 25h</t>
  </si>
  <si>
    <t xml:space="preserve">Datenverarbeitungssysteme, Monitoring</t>
  </si>
  <si>
    <t xml:space="preserve">Q21</t>
  </si>
  <si>
    <t xml:space="preserve">A small bank has 30 employees. Does it have to set up an internal whistleblowing channel?</t>
  </si>
  <si>
    <t xml:space="preserve">Yes. The 50-employee threshold does not apply to credit institutions; they must set up an internal reporting office regardless of size. Receipt must be confirmed within 7 days, feedback given within 3 months.</t>
  </si>
  <si>
    <t xml:space="preserve">24_HinSchG.pdf, sections 12 and 17</t>
  </si>
  <si>
    <t xml:space="preserve">interne Meldestelle, Beschäftigte</t>
  </si>
  <si>
    <t xml:space="preserve">Q22</t>
  </si>
  <si>
    <t xml:space="preserve">Within what time frame must a bank notify a personal data breach to the supervisory authority?</t>
  </si>
  <si>
    <t xml:space="preserve">Without undue delay and, where feasible, within 72 hours after becoming aware of it, unless the breach is unlikely to result in a risk. If the risk to data subjects is high, they must also be informed.</t>
  </si>
  <si>
    <t xml:space="preserve">25_DSGVO.pdf, Articles 33 and 34</t>
  </si>
  <si>
    <t xml:space="preserve">Verletzung des Schutzes personenbezogener Daten, 72 Stunden</t>
  </si>
  <si>
    <t xml:space="preserve">Q23</t>
  </si>
  <si>
    <t xml:space="preserve">DORA / IT service providers</t>
  </si>
  <si>
    <t xml:space="preserve">Since when does DORA apply, and is a German savings bank in scope?</t>
  </si>
  <si>
    <t xml:space="preserve">DORA applies from 17 January 2025. Credit institutions, including savings banks, are financial entities within its scope.</t>
  </si>
  <si>
    <t xml:space="preserve">27_DORA_2022_2554.pdf, Articles 2 and 64</t>
  </si>
  <si>
    <t xml:space="preserve">Geltungsbeginn, Finanzunternehmen</t>
  </si>
  <si>
    <t xml:space="preserve">Q24</t>
  </si>
  <si>
    <t xml:space="preserve">What are the deadlines for reporting a major ICT-related incident?</t>
  </si>
  <si>
    <t xml:space="preserve">Initial notification within 4 hours after classifying the incident as major, at the latest 24 hours after becoming aware of it. Intermediate report within 72 hours of the initial notification. Final report within one month of the latest intermediate report.</t>
  </si>
  <si>
    <t xml:space="preserve">32_DORA_Meldefristen.pdf; 27_DORA_2022_2554.pdf, Article 19</t>
  </si>
  <si>
    <t xml:space="preserve">schwerwiegender IKT-bezogener Vorfall, Erstmeldung</t>
  </si>
  <si>
    <t xml:space="preserve">Q25</t>
  </si>
  <si>
    <t xml:space="preserve">Can a mid-sized German credit institution use the simplified ICT risk management framework under Article 16 DORA?</t>
  </si>
  <si>
    <t xml:space="preserve">Distinction</t>
  </si>
  <si>
    <t xml:space="preserve">No, as a rule. Article 16 is limited to specific small entities (e.g. small and non-interconnected investment firms, exempted payment and e-money institutions, institutions exempted under the CRD, small pension funds). BaFin's supervisory notes confirm it is not a general option for banks.</t>
  </si>
  <si>
    <t xml:space="preserve">27_DORA_2022_2554.pdf, Article 16; 35_BaFin_DORA_Artikel_16.pdf</t>
  </si>
  <si>
    <t xml:space="preserve">vereinfachter IKT-Risikomanagementrahmen</t>
  </si>
  <si>
    <t xml:space="preserve">Q26</t>
  </si>
  <si>
    <t xml:space="preserve">Which key contractual provisions must a contract with an ICT third-party provider contain under DORA?</t>
  </si>
  <si>
    <t xml:space="preserve">Among others: clear description of services, locations of service provision and data processing, provisions on data protection, availability, integrity and confidentiality, access and recovery of data in case of insolvency, service levels, cooperation with authorities, termination rights. For critical or important functions additionally: detailed service levels, notice periods, exit strategies, audit and access rights, participation in TLPT.</t>
  </si>
  <si>
    <t xml:space="preserve">27_DORA_2022_2554.pdf, Article 30; 30_DORA_Vertragsleitlinie.pdf</t>
  </si>
  <si>
    <t xml:space="preserve">vertragliche Vereinbarungen, kritische oder wichtige Funktionen, Ausstiegsstrategie</t>
  </si>
  <si>
    <t xml:space="preserve">Q27</t>
  </si>
  <si>
    <t xml:space="preserve">Securities / client protection</t>
  </si>
  <si>
    <t xml:space="preserve">What is the difference between the suitability test, the appropriateness test and execution-only?</t>
  </si>
  <si>
    <t xml:space="preserve">Suitability applies to investment advice and portfolio management: knowledge and experience, financial situation including ability to bear losses, and investment objectives including risk tolerance. Appropriateness applies to other non-advised services: only knowledge and experience. Execution-only: no test, only for non-complex instruments at the client's initiative, with a warning to the client.</t>
  </si>
  <si>
    <t xml:space="preserve">37_WpHG.pdf, sections 63(10), 63(11), 64(3); 42_ESMA_Geeignetheit.pdf; 43_ESMA_Angemessenheit.pdf</t>
  </si>
  <si>
    <t xml:space="preserve">Geeignetheit, Angemessenheit, beratungsfreies Geschäft</t>
  </si>
  <si>
    <t xml:space="preserve">Q28</t>
  </si>
  <si>
    <t xml:space="preserve">Must a bank record telephone calls with clients about securities orders, and how long must it keep the recordings?</t>
  </si>
  <si>
    <t xml:space="preserve">Yes, conversations that relate to orders must be recorded, and clients must be informed in advance. Recordings must be kept for five years (up to seven years at the request of the authority).</t>
  </si>
  <si>
    <t xml:space="preserve">37_WpHG.pdf, section 83</t>
  </si>
  <si>
    <t xml:space="preserve">Aufzeichnungspflicht, Telefongespräche</t>
  </si>
  <si>
    <t xml:space="preserve">Q29</t>
  </si>
  <si>
    <t xml:space="preserve">What is the difference between a suspicious activity report under the GwG and a STOR under MAR?</t>
  </si>
  <si>
    <t xml:space="preserve">GwG report: suspicion of money laundering or terrorist financing, filed with the FIU. STOR: suspicion of insider dealing or market manipulation in orders or transactions, filed with the competent authority (BaFin) without delay, using the template of Delegated Regulation 2016/957. Both may be required for the same case.</t>
  </si>
  <si>
    <t xml:space="preserve">01_GwG.pdf, section 43; 40_MAR_596_2014.pdf, Article 16; 41_MAR_STOR_2016_957.pdf</t>
  </si>
  <si>
    <t xml:space="preserve">Verdachtsmeldung, Marktmissbrauch, Verdachtsanzeige</t>
  </si>
  <si>
    <t xml:space="preserve">Q30</t>
  </si>
  <si>
    <t xml:space="preserve">Payments</t>
  </si>
  <si>
    <t xml:space="preserve">A customer reports an unauthorised card payment. What must the bank do, and how far is the customer liable?</t>
  </si>
  <si>
    <t xml:space="preserve">The bank must refund the amount immediately, at the latest by the end of the business day after notification (unless it has reasonable grounds to suspect fraud and reports them). The customer is liable up to EUR 50 for lost, stolen or misused instruments, fully only in case of fraud or gross negligence. The customer must report within 13 months.</t>
  </si>
  <si>
    <t xml:space="preserve">49_BGB.pdf, sections 675u, 675v, 676b</t>
  </si>
  <si>
    <t xml:space="preserve">nicht autorisierter Zahlungsvorgang, Erstattung, 50 Euro</t>
  </si>
  <si>
    <t xml:space="preserve">Q31</t>
  </si>
  <si>
    <t xml:space="preserve">Out of scope</t>
  </si>
  <si>
    <t xml:space="preserve">What is the ECB's current deposit facility rate?</t>
  </si>
  <si>
    <t xml:space="preserve">Not covered by the corpus. The assistant must say it cannot answer from the available documents and must not state a rate.</t>
  </si>
  <si>
    <t xml:space="preserve">None</t>
  </si>
  <si>
    <t xml:space="preserve">Q32</t>
  </si>
  <si>
    <t xml:space="preserve">What lending approval limits apply to branch managers at our bank?</t>
  </si>
  <si>
    <t xml:space="preserve">Institution-specific, not covered by the corpus. The assistant should say so, may point out that MaRisk requires a clear allocation of competences, but must not invent limits.</t>
  </si>
  <si>
    <t xml:space="preserve">None (optional reference: 21_MaRisk_06_2026.pdf)</t>
  </si>
  <si>
    <t xml:space="preserve">Scoring</t>
  </si>
  <si>
    <t xml:space="preserve">Enter the assistant's answer and your score in the yellow cells. Score: 1, 0.5 or 0. Sources OK: Y or N.</t>
  </si>
  <si>
    <t xml:space="preserve">Questions scored</t>
  </si>
  <si>
    <t xml:space="preserve">Correct sources</t>
  </si>
  <si>
    <t xml:space="preserve">Accuracy (target 85%)</t>
  </si>
  <si>
    <t xml:space="preserve">Assistant answer</t>
  </si>
  <si>
    <t xml:space="preserve">Cited sources</t>
  </si>
  <si>
    <t xml:space="preserve">Score (1 / 0.5 / 0)</t>
  </si>
  <si>
    <t xml:space="preserve">Sources OK (Y/N)</t>
  </si>
  <si>
    <t xml:space="preserve">Notes</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</si>
</sst>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6"/>
      <color rgb="FF0B1F3A"/>
      <name val="Arial"/>
      <family val="0"/>
      <charset val="1"/>
    </font>
    <font>
      <sz val="11"/>
      <color rgb="FF555555"/>
      <name val="Arial"/>
      <family val="0"/>
      <charset val="1"/>
    </font>
    <font>
      <sz val="10"/>
      <name val="Arial"/>
      <family val="0"/>
      <charset val="1"/>
    </font>
    <font>
      <b val="true"/>
      <sz val="11"/>
      <color rgb="FF2F6BFF"/>
      <name val="Arial"/>
      <family val="0"/>
      <charset val="1"/>
    </font>
    <font>
      <b val="true"/>
      <sz val="10"/>
      <color rgb="FFFFFFFF"/>
      <name val="Arial"/>
      <family val="0"/>
      <charset val="1"/>
    </font>
    <font>
      <b val="true"/>
      <sz val="10"/>
      <name val="Arial"/>
      <family val="0"/>
      <charset val="1"/>
    </font>
    <font>
      <b val="true"/>
      <sz val="14"/>
      <color rgb="FF0B1F3A"/>
      <name val="Arial"/>
      <family val="0"/>
      <charset val="1"/>
    </font>
    <font>
      <i val="true"/>
      <sz val="10"/>
      <name val="Arial"/>
      <family val="0"/>
      <charset val="1"/>
    </font>
  </fonts>
  <fills count="5">
    <fill>
      <patternFill patternType="none"/>
    </fill>
    <fill>
      <patternFill patternType="gray125"/>
    </fill>
    <fill>
      <patternFill patternType="solid">
        <fgColor rgb="FF0B1F3A"/>
        <bgColor rgb="FF003300"/>
      </patternFill>
    </fill>
    <fill>
      <patternFill patternType="solid">
        <fgColor rgb="FFEEF3FF"/>
        <bgColor rgb="FFFFFFFF"/>
      </patternFill>
    </fill>
    <fill>
      <patternFill patternType="solid">
        <fgColor rgb="FFFFF2CC"/>
        <bgColor rgb="FFEEF3FF"/>
      </patternFill>
    </fill>
  </fills>
  <borders count="2">
    <border diagonalUp="false" diagonalDown="false">
      <left/>
      <right/>
      <top/>
      <bottom/>
      <diagonal/>
    </border>
    <border diagonalUp="false" diagonalDown="false">
      <left style="thin">
        <color rgb="FFC9D3E6"/>
      </left>
      <right style="thin">
        <color rgb="FFC9D3E6"/>
      </right>
      <top style="thin">
        <color rgb="FFC9D3E6"/>
      </top>
      <bottom style="thin">
        <color rgb="FFC9D3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B1F3A"/>
          <bgColor rgb="FF000000"/>
        </patternFill>
      </fill>
    </dxf>
    <dxf>
      <fill>
        <patternFill patternType="solid">
          <fgColor rgb="FFEEF3F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EF3FF"/>
      <rgbColor rgb="FF660066"/>
      <rgbColor rgb="FFFF8080"/>
      <rgbColor rgb="FF0066CC"/>
      <rgbColor rgb="FFC9D3E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F6BFF"/>
      <rgbColor rgb="FF33CCCC"/>
      <rgbColor rgb="FF99CC00"/>
      <rgbColor rgb="FFFFCC00"/>
      <rgbColor rgb="FFFF9900"/>
      <rgbColor rgb="FFFF6600"/>
      <rgbColor rgb="FF555555"/>
      <rgbColor rgb="FF969696"/>
      <rgbColor rgb="FF0B1F3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row>
    <row r="7" customFormat="false" ht="15" hidden="false" customHeight="false" outlineLevel="0" collapsed="false">
      <c r="A7" s="4"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3"/>
    </row>
    <row r="13" customFormat="false" ht="15" hidden="false" customHeight="false" outlineLevel="0" collapsed="false">
      <c r="A13" s="4" t="s">
        <v>9</v>
      </c>
    </row>
    <row r="14" customFormat="false" ht="23.85" hidden="false" customHeight="false" outlineLevel="0" collapsed="false">
      <c r="A14" s="3" t="s">
        <v>10</v>
      </c>
    </row>
    <row r="15" customFormat="false" ht="15" hidden="false" customHeight="false" outlineLevel="0" collapsed="false">
      <c r="A15" s="3"/>
    </row>
    <row r="16" customFormat="false" ht="15" hidden="false" customHeight="false" outlineLevel="0" collapsed="false">
      <c r="A16" s="4" t="s">
        <v>11</v>
      </c>
    </row>
    <row r="17" customFormat="false" ht="15" hidden="false" customHeight="false" outlineLevel="0" collapsed="false">
      <c r="A17" s="3" t="s">
        <v>12</v>
      </c>
    </row>
    <row r="18" customFormat="false" ht="23.85" hidden="false" customHeight="false" outlineLevel="0" collapsed="false">
      <c r="A18" s="3" t="s">
        <v>13</v>
      </c>
    </row>
    <row r="19" customFormat="false" ht="15" hidden="false" customHeight="false" outlineLevel="0" collapsed="false">
      <c r="A19" s="3" t="s">
        <v>14</v>
      </c>
    </row>
    <row r="20" customFormat="false" ht="15" hidden="false" customHeight="false" outlineLevel="0" collapsed="false">
      <c r="A20" s="3"/>
    </row>
    <row r="21" customFormat="false" ht="15" hidden="false" customHeight="false" outlineLevel="0" collapsed="false">
      <c r="A21" s="4" t="s">
        <v>15</v>
      </c>
    </row>
    <row r="22" customFormat="false" ht="15" hidden="false" customHeight="false" outlineLevel="0" collapsed="false">
      <c r="A22" s="3" t="s">
        <v>16</v>
      </c>
    </row>
    <row r="23" customFormat="false" ht="15" hidden="false" customHeight="false" outlineLevel="0" collapsed="false">
      <c r="A23" s="3"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48"/>
    <col collapsed="false" customWidth="true" hidden="false" outlineLevel="0" max="4" min="4" style="0" width="15"/>
    <col collapsed="false" customWidth="true" hidden="false" outlineLevel="0" max="5" min="5" style="0" width="10"/>
    <col collapsed="false" customWidth="true" hidden="false" outlineLevel="0" max="6" min="6" style="0" width="70"/>
    <col collapsed="false" customWidth="true" hidden="false" outlineLevel="0" max="7" min="7" style="0" width="40"/>
    <col collapsed="false" customWidth="true" hidden="false" outlineLevel="0" max="8" min="8" style="0" width="30"/>
  </cols>
  <sheetData>
    <row r="1" customFormat="false" ht="23.85" hidden="false" customHeight="false" outlineLevel="0" collapsed="false">
      <c r="A1" s="5" t="s">
        <v>18</v>
      </c>
      <c r="B1" s="5" t="s">
        <v>19</v>
      </c>
      <c r="C1" s="5" t="s">
        <v>20</v>
      </c>
      <c r="D1" s="5" t="s">
        <v>21</v>
      </c>
      <c r="E1" s="5" t="s">
        <v>22</v>
      </c>
      <c r="F1" s="5" t="s">
        <v>23</v>
      </c>
      <c r="G1" s="5" t="s">
        <v>24</v>
      </c>
      <c r="H1" s="5" t="s">
        <v>25</v>
      </c>
    </row>
    <row r="2" customFormat="false" ht="46.25" hidden="false" customHeight="false" outlineLevel="0" collapsed="false">
      <c r="A2" s="6" t="s">
        <v>26</v>
      </c>
      <c r="B2" s="7" t="s">
        <v>27</v>
      </c>
      <c r="C2" s="7" t="s">
        <v>28</v>
      </c>
      <c r="D2" s="7" t="s">
        <v>29</v>
      </c>
      <c r="E2" s="7" t="n">
        <v>1</v>
      </c>
      <c r="F2" s="7" t="s">
        <v>30</v>
      </c>
      <c r="G2" s="7" t="s">
        <v>31</v>
      </c>
      <c r="H2" s="7" t="s">
        <v>32</v>
      </c>
    </row>
    <row r="3" customFormat="false" ht="35.05" hidden="false" customHeight="false" outlineLevel="0" collapsed="false">
      <c r="A3" s="8" t="s">
        <v>33</v>
      </c>
      <c r="B3" s="9" t="s">
        <v>27</v>
      </c>
      <c r="C3" s="9" t="s">
        <v>34</v>
      </c>
      <c r="D3" s="9" t="s">
        <v>29</v>
      </c>
      <c r="E3" s="9" t="n">
        <v>1</v>
      </c>
      <c r="F3" s="9" t="s">
        <v>35</v>
      </c>
      <c r="G3" s="9" t="s">
        <v>36</v>
      </c>
      <c r="H3" s="9" t="s">
        <v>37</v>
      </c>
    </row>
    <row r="4" customFormat="false" ht="35.05" hidden="false" customHeight="false" outlineLevel="0" collapsed="false">
      <c r="A4" s="6" t="s">
        <v>38</v>
      </c>
      <c r="B4" s="7" t="s">
        <v>27</v>
      </c>
      <c r="C4" s="7" t="s">
        <v>39</v>
      </c>
      <c r="D4" s="7" t="s">
        <v>29</v>
      </c>
      <c r="E4" s="7" t="n">
        <v>1</v>
      </c>
      <c r="F4" s="7" t="s">
        <v>40</v>
      </c>
      <c r="G4" s="7" t="s">
        <v>41</v>
      </c>
      <c r="H4" s="7" t="s">
        <v>42</v>
      </c>
    </row>
    <row r="5" customFormat="false" ht="35.05" hidden="false" customHeight="false" outlineLevel="0" collapsed="false">
      <c r="A5" s="8" t="s">
        <v>43</v>
      </c>
      <c r="B5" s="9" t="s">
        <v>27</v>
      </c>
      <c r="C5" s="9" t="s">
        <v>44</v>
      </c>
      <c r="D5" s="9" t="s">
        <v>45</v>
      </c>
      <c r="E5" s="9" t="n">
        <v>2</v>
      </c>
      <c r="F5" s="9" t="s">
        <v>46</v>
      </c>
      <c r="G5" s="9" t="s">
        <v>47</v>
      </c>
      <c r="H5" s="9" t="s">
        <v>48</v>
      </c>
    </row>
    <row r="6" customFormat="false" ht="57.45" hidden="false" customHeight="false" outlineLevel="0" collapsed="false">
      <c r="A6" s="6" t="s">
        <v>49</v>
      </c>
      <c r="B6" s="7" t="s">
        <v>27</v>
      </c>
      <c r="C6" s="7" t="s">
        <v>50</v>
      </c>
      <c r="D6" s="7" t="s">
        <v>29</v>
      </c>
      <c r="E6" s="7" t="n">
        <v>2</v>
      </c>
      <c r="F6" s="7" t="s">
        <v>51</v>
      </c>
      <c r="G6" s="7" t="s">
        <v>52</v>
      </c>
      <c r="H6" s="7" t="s">
        <v>53</v>
      </c>
    </row>
    <row r="7" customFormat="false" ht="46.25" hidden="false" customHeight="false" outlineLevel="0" collapsed="false">
      <c r="A7" s="8" t="s">
        <v>54</v>
      </c>
      <c r="B7" s="9" t="s">
        <v>27</v>
      </c>
      <c r="C7" s="9" t="s">
        <v>55</v>
      </c>
      <c r="D7" s="9" t="s">
        <v>29</v>
      </c>
      <c r="E7" s="9" t="n">
        <v>1</v>
      </c>
      <c r="F7" s="9" t="s">
        <v>56</v>
      </c>
      <c r="G7" s="9" t="s">
        <v>57</v>
      </c>
      <c r="H7" s="9" t="s">
        <v>58</v>
      </c>
    </row>
    <row r="8" customFormat="false" ht="46.25" hidden="false" customHeight="false" outlineLevel="0" collapsed="false">
      <c r="A8" s="6" t="s">
        <v>59</v>
      </c>
      <c r="B8" s="7" t="s">
        <v>27</v>
      </c>
      <c r="C8" s="7" t="s">
        <v>60</v>
      </c>
      <c r="D8" s="7" t="s">
        <v>45</v>
      </c>
      <c r="E8" s="7" t="n">
        <v>2</v>
      </c>
      <c r="F8" s="7" t="s">
        <v>61</v>
      </c>
      <c r="G8" s="7" t="s">
        <v>62</v>
      </c>
      <c r="H8" s="7" t="s">
        <v>63</v>
      </c>
    </row>
    <row r="9" customFormat="false" ht="35.05" hidden="false" customHeight="false" outlineLevel="0" collapsed="false">
      <c r="A9" s="8" t="s">
        <v>64</v>
      </c>
      <c r="B9" s="9" t="s">
        <v>27</v>
      </c>
      <c r="C9" s="9" t="s">
        <v>65</v>
      </c>
      <c r="D9" s="9" t="s">
        <v>45</v>
      </c>
      <c r="E9" s="9" t="n">
        <v>2</v>
      </c>
      <c r="F9" s="9" t="s">
        <v>66</v>
      </c>
      <c r="G9" s="9" t="s">
        <v>67</v>
      </c>
      <c r="H9" s="9" t="s">
        <v>68</v>
      </c>
    </row>
    <row r="10" customFormat="false" ht="46.25" hidden="false" customHeight="false" outlineLevel="0" collapsed="false">
      <c r="A10" s="6" t="s">
        <v>69</v>
      </c>
      <c r="B10" s="7" t="s">
        <v>27</v>
      </c>
      <c r="C10" s="7" t="s">
        <v>70</v>
      </c>
      <c r="D10" s="7" t="s">
        <v>45</v>
      </c>
      <c r="E10" s="7" t="n">
        <v>2</v>
      </c>
      <c r="F10" s="7" t="s">
        <v>71</v>
      </c>
      <c r="G10" s="7" t="s">
        <v>72</v>
      </c>
      <c r="H10" s="7" t="s">
        <v>73</v>
      </c>
    </row>
    <row r="11" customFormat="false" ht="46.25" hidden="false" customHeight="false" outlineLevel="0" collapsed="false">
      <c r="A11" s="8" t="s">
        <v>74</v>
      </c>
      <c r="B11" s="9" t="s">
        <v>27</v>
      </c>
      <c r="C11" s="9" t="s">
        <v>75</v>
      </c>
      <c r="D11" s="9" t="s">
        <v>29</v>
      </c>
      <c r="E11" s="9" t="n">
        <v>2</v>
      </c>
      <c r="F11" s="9" t="s">
        <v>76</v>
      </c>
      <c r="G11" s="9" t="s">
        <v>77</v>
      </c>
      <c r="H11" s="9" t="s">
        <v>78</v>
      </c>
    </row>
    <row r="12" customFormat="false" ht="46.25" hidden="false" customHeight="false" outlineLevel="0" collapsed="false">
      <c r="A12" s="6" t="s">
        <v>79</v>
      </c>
      <c r="B12" s="7" t="s">
        <v>27</v>
      </c>
      <c r="C12" s="7" t="s">
        <v>80</v>
      </c>
      <c r="D12" s="7" t="s">
        <v>29</v>
      </c>
      <c r="E12" s="7" t="n">
        <v>2</v>
      </c>
      <c r="F12" s="7" t="s">
        <v>81</v>
      </c>
      <c r="G12" s="7" t="s">
        <v>82</v>
      </c>
      <c r="H12" s="7" t="s">
        <v>83</v>
      </c>
    </row>
    <row r="13" customFormat="false" ht="35.05" hidden="false" customHeight="false" outlineLevel="0" collapsed="false">
      <c r="A13" s="8" t="s">
        <v>84</v>
      </c>
      <c r="B13" s="9" t="s">
        <v>85</v>
      </c>
      <c r="C13" s="9" t="s">
        <v>86</v>
      </c>
      <c r="D13" s="9" t="s">
        <v>29</v>
      </c>
      <c r="E13" s="9" t="n">
        <v>1</v>
      </c>
      <c r="F13" s="9" t="s">
        <v>87</v>
      </c>
      <c r="G13" s="9" t="s">
        <v>88</v>
      </c>
      <c r="H13" s="9" t="s">
        <v>89</v>
      </c>
    </row>
    <row r="14" customFormat="false" ht="46.25" hidden="false" customHeight="false" outlineLevel="0" collapsed="false">
      <c r="A14" s="6" t="s">
        <v>90</v>
      </c>
      <c r="B14" s="7" t="s">
        <v>85</v>
      </c>
      <c r="C14" s="7" t="s">
        <v>91</v>
      </c>
      <c r="D14" s="7" t="s">
        <v>45</v>
      </c>
      <c r="E14" s="7" t="n">
        <v>2</v>
      </c>
      <c r="F14" s="7" t="s">
        <v>92</v>
      </c>
      <c r="G14" s="7" t="s">
        <v>93</v>
      </c>
      <c r="H14" s="7" t="s">
        <v>94</v>
      </c>
    </row>
    <row r="15" customFormat="false" ht="46.25" hidden="false" customHeight="false" outlineLevel="0" collapsed="false">
      <c r="A15" s="8" t="s">
        <v>95</v>
      </c>
      <c r="B15" s="9" t="s">
        <v>85</v>
      </c>
      <c r="C15" s="9" t="s">
        <v>96</v>
      </c>
      <c r="D15" s="9" t="s">
        <v>29</v>
      </c>
      <c r="E15" s="9" t="n">
        <v>2</v>
      </c>
      <c r="F15" s="9" t="s">
        <v>97</v>
      </c>
      <c r="G15" s="9" t="s">
        <v>98</v>
      </c>
      <c r="H15" s="9" t="s">
        <v>99</v>
      </c>
    </row>
    <row r="16" customFormat="false" ht="35.05" hidden="false" customHeight="false" outlineLevel="0" collapsed="false">
      <c r="A16" s="6" t="s">
        <v>100</v>
      </c>
      <c r="B16" s="7" t="s">
        <v>85</v>
      </c>
      <c r="C16" s="7" t="s">
        <v>101</v>
      </c>
      <c r="D16" s="7" t="s">
        <v>45</v>
      </c>
      <c r="E16" s="7" t="n">
        <v>2</v>
      </c>
      <c r="F16" s="7" t="s">
        <v>102</v>
      </c>
      <c r="G16" s="7" t="s">
        <v>103</v>
      </c>
      <c r="H16" s="7" t="s">
        <v>104</v>
      </c>
    </row>
    <row r="17" customFormat="false" ht="35.05" hidden="false" customHeight="false" outlineLevel="0" collapsed="false">
      <c r="A17" s="8" t="s">
        <v>105</v>
      </c>
      <c r="B17" s="9" t="s">
        <v>85</v>
      </c>
      <c r="C17" s="9" t="s">
        <v>106</v>
      </c>
      <c r="D17" s="9" t="s">
        <v>29</v>
      </c>
      <c r="E17" s="9" t="n">
        <v>2</v>
      </c>
      <c r="F17" s="9" t="s">
        <v>107</v>
      </c>
      <c r="G17" s="9" t="s">
        <v>108</v>
      </c>
      <c r="H17" s="9" t="s">
        <v>109</v>
      </c>
    </row>
    <row r="18" customFormat="false" ht="46.25" hidden="false" customHeight="false" outlineLevel="0" collapsed="false">
      <c r="A18" s="6" t="s">
        <v>110</v>
      </c>
      <c r="B18" s="7" t="s">
        <v>85</v>
      </c>
      <c r="C18" s="7" t="s">
        <v>111</v>
      </c>
      <c r="D18" s="7" t="s">
        <v>29</v>
      </c>
      <c r="E18" s="7" t="n">
        <v>2</v>
      </c>
      <c r="F18" s="7" t="s">
        <v>112</v>
      </c>
      <c r="G18" s="7" t="s">
        <v>113</v>
      </c>
      <c r="H18" s="7" t="s">
        <v>114</v>
      </c>
    </row>
    <row r="19" customFormat="false" ht="46.25" hidden="false" customHeight="false" outlineLevel="0" collapsed="false">
      <c r="A19" s="8" t="s">
        <v>115</v>
      </c>
      <c r="B19" s="9" t="s">
        <v>116</v>
      </c>
      <c r="C19" s="9" t="s">
        <v>117</v>
      </c>
      <c r="D19" s="9" t="s">
        <v>45</v>
      </c>
      <c r="E19" s="9" t="n">
        <v>1</v>
      </c>
      <c r="F19" s="9" t="s">
        <v>118</v>
      </c>
      <c r="G19" s="9" t="s">
        <v>119</v>
      </c>
      <c r="H19" s="9" t="s">
        <v>120</v>
      </c>
    </row>
    <row r="20" customFormat="false" ht="35.05" hidden="false" customHeight="false" outlineLevel="0" collapsed="false">
      <c r="A20" s="6" t="s">
        <v>121</v>
      </c>
      <c r="B20" s="7" t="s">
        <v>116</v>
      </c>
      <c r="C20" s="7" t="s">
        <v>122</v>
      </c>
      <c r="D20" s="7" t="s">
        <v>29</v>
      </c>
      <c r="E20" s="7" t="n">
        <v>2</v>
      </c>
      <c r="F20" s="7" t="s">
        <v>123</v>
      </c>
      <c r="G20" s="7" t="s">
        <v>124</v>
      </c>
      <c r="H20" s="7" t="s">
        <v>125</v>
      </c>
    </row>
    <row r="21" customFormat="false" ht="35.05" hidden="false" customHeight="false" outlineLevel="0" collapsed="false">
      <c r="A21" s="8" t="s">
        <v>126</v>
      </c>
      <c r="B21" s="9" t="s">
        <v>116</v>
      </c>
      <c r="C21" s="9" t="s">
        <v>127</v>
      </c>
      <c r="D21" s="9" t="s">
        <v>29</v>
      </c>
      <c r="E21" s="9" t="n">
        <v>2</v>
      </c>
      <c r="F21" s="9" t="s">
        <v>128</v>
      </c>
      <c r="G21" s="9" t="s">
        <v>129</v>
      </c>
      <c r="H21" s="9" t="s">
        <v>130</v>
      </c>
    </row>
    <row r="22" customFormat="false" ht="35.05" hidden="false" customHeight="false" outlineLevel="0" collapsed="false">
      <c r="A22" s="6" t="s">
        <v>131</v>
      </c>
      <c r="B22" s="7" t="s">
        <v>116</v>
      </c>
      <c r="C22" s="7" t="s">
        <v>132</v>
      </c>
      <c r="D22" s="7" t="s">
        <v>29</v>
      </c>
      <c r="E22" s="7" t="n">
        <v>2</v>
      </c>
      <c r="F22" s="7" t="s">
        <v>133</v>
      </c>
      <c r="G22" s="7" t="s">
        <v>134</v>
      </c>
      <c r="H22" s="7" t="s">
        <v>135</v>
      </c>
    </row>
    <row r="23" customFormat="false" ht="35.05" hidden="false" customHeight="false" outlineLevel="0" collapsed="false">
      <c r="A23" s="8" t="s">
        <v>136</v>
      </c>
      <c r="B23" s="9" t="s">
        <v>116</v>
      </c>
      <c r="C23" s="9" t="s">
        <v>137</v>
      </c>
      <c r="D23" s="9" t="s">
        <v>29</v>
      </c>
      <c r="E23" s="9" t="n">
        <v>1</v>
      </c>
      <c r="F23" s="9" t="s">
        <v>138</v>
      </c>
      <c r="G23" s="9" t="s">
        <v>139</v>
      </c>
      <c r="H23" s="9" t="s">
        <v>140</v>
      </c>
    </row>
    <row r="24" customFormat="false" ht="23.85" hidden="false" customHeight="false" outlineLevel="0" collapsed="false">
      <c r="A24" s="6" t="s">
        <v>141</v>
      </c>
      <c r="B24" s="7" t="s">
        <v>142</v>
      </c>
      <c r="C24" s="7" t="s">
        <v>143</v>
      </c>
      <c r="D24" s="7" t="s">
        <v>29</v>
      </c>
      <c r="E24" s="7" t="n">
        <v>1</v>
      </c>
      <c r="F24" s="7" t="s">
        <v>144</v>
      </c>
      <c r="G24" s="7" t="s">
        <v>145</v>
      </c>
      <c r="H24" s="7" t="s">
        <v>146</v>
      </c>
    </row>
    <row r="25" customFormat="false" ht="35.05" hidden="false" customHeight="false" outlineLevel="0" collapsed="false">
      <c r="A25" s="8" t="s">
        <v>147</v>
      </c>
      <c r="B25" s="9" t="s">
        <v>142</v>
      </c>
      <c r="C25" s="9" t="s">
        <v>148</v>
      </c>
      <c r="D25" s="9" t="s">
        <v>29</v>
      </c>
      <c r="E25" s="9" t="n">
        <v>2</v>
      </c>
      <c r="F25" s="9" t="s">
        <v>149</v>
      </c>
      <c r="G25" s="9" t="s">
        <v>150</v>
      </c>
      <c r="H25" s="9" t="s">
        <v>151</v>
      </c>
    </row>
    <row r="26" customFormat="false" ht="46.25" hidden="false" customHeight="false" outlineLevel="0" collapsed="false">
      <c r="A26" s="6" t="s">
        <v>152</v>
      </c>
      <c r="B26" s="7" t="s">
        <v>142</v>
      </c>
      <c r="C26" s="7" t="s">
        <v>153</v>
      </c>
      <c r="D26" s="7" t="s">
        <v>154</v>
      </c>
      <c r="E26" s="7" t="n">
        <v>2</v>
      </c>
      <c r="F26" s="7" t="s">
        <v>155</v>
      </c>
      <c r="G26" s="7" t="s">
        <v>156</v>
      </c>
      <c r="H26" s="7" t="s">
        <v>157</v>
      </c>
    </row>
    <row r="27" customFormat="false" ht="68.65" hidden="false" customHeight="false" outlineLevel="0" collapsed="false">
      <c r="A27" s="8" t="s">
        <v>158</v>
      </c>
      <c r="B27" s="9" t="s">
        <v>142</v>
      </c>
      <c r="C27" s="9" t="s">
        <v>159</v>
      </c>
      <c r="D27" s="9" t="s">
        <v>45</v>
      </c>
      <c r="E27" s="9" t="n">
        <v>3</v>
      </c>
      <c r="F27" s="9" t="s">
        <v>160</v>
      </c>
      <c r="G27" s="9" t="s">
        <v>161</v>
      </c>
      <c r="H27" s="9" t="s">
        <v>162</v>
      </c>
    </row>
    <row r="28" customFormat="false" ht="57.45" hidden="false" customHeight="false" outlineLevel="0" collapsed="false">
      <c r="A28" s="6" t="s">
        <v>163</v>
      </c>
      <c r="B28" s="7" t="s">
        <v>164</v>
      </c>
      <c r="C28" s="7" t="s">
        <v>165</v>
      </c>
      <c r="D28" s="7" t="s">
        <v>154</v>
      </c>
      <c r="E28" s="7" t="n">
        <v>2</v>
      </c>
      <c r="F28" s="7" t="s">
        <v>166</v>
      </c>
      <c r="G28" s="7" t="s">
        <v>167</v>
      </c>
      <c r="H28" s="7" t="s">
        <v>168</v>
      </c>
    </row>
    <row r="29" customFormat="false" ht="35.05" hidden="false" customHeight="false" outlineLevel="0" collapsed="false">
      <c r="A29" s="8" t="s">
        <v>169</v>
      </c>
      <c r="B29" s="9" t="s">
        <v>164</v>
      </c>
      <c r="C29" s="9" t="s">
        <v>170</v>
      </c>
      <c r="D29" s="9" t="s">
        <v>29</v>
      </c>
      <c r="E29" s="9" t="n">
        <v>2</v>
      </c>
      <c r="F29" s="9" t="s">
        <v>171</v>
      </c>
      <c r="G29" s="9" t="s">
        <v>172</v>
      </c>
      <c r="H29" s="9" t="s">
        <v>173</v>
      </c>
    </row>
    <row r="30" customFormat="false" ht="46.25" hidden="false" customHeight="false" outlineLevel="0" collapsed="false">
      <c r="A30" s="6" t="s">
        <v>174</v>
      </c>
      <c r="B30" s="7" t="s">
        <v>164</v>
      </c>
      <c r="C30" s="7" t="s">
        <v>175</v>
      </c>
      <c r="D30" s="7" t="s">
        <v>154</v>
      </c>
      <c r="E30" s="7" t="n">
        <v>3</v>
      </c>
      <c r="F30" s="7" t="s">
        <v>176</v>
      </c>
      <c r="G30" s="7" t="s">
        <v>177</v>
      </c>
      <c r="H30" s="7" t="s">
        <v>178</v>
      </c>
    </row>
    <row r="31" customFormat="false" ht="57.45" hidden="false" customHeight="false" outlineLevel="0" collapsed="false">
      <c r="A31" s="8" t="s">
        <v>179</v>
      </c>
      <c r="B31" s="9" t="s">
        <v>180</v>
      </c>
      <c r="C31" s="9" t="s">
        <v>181</v>
      </c>
      <c r="D31" s="9" t="s">
        <v>29</v>
      </c>
      <c r="E31" s="9" t="n">
        <v>2</v>
      </c>
      <c r="F31" s="9" t="s">
        <v>182</v>
      </c>
      <c r="G31" s="9" t="s">
        <v>183</v>
      </c>
      <c r="H31" s="9" t="s">
        <v>184</v>
      </c>
    </row>
    <row r="32" customFormat="false" ht="23.85" hidden="false" customHeight="false" outlineLevel="0" collapsed="false">
      <c r="A32" s="6" t="s">
        <v>185</v>
      </c>
      <c r="B32" s="7" t="s">
        <v>186</v>
      </c>
      <c r="C32" s="7" t="s">
        <v>187</v>
      </c>
      <c r="D32" s="7" t="s">
        <v>186</v>
      </c>
      <c r="E32" s="7" t="n">
        <v>1</v>
      </c>
      <c r="F32" s="7" t="s">
        <v>188</v>
      </c>
      <c r="G32" s="7" t="s">
        <v>189</v>
      </c>
      <c r="H32" s="7"/>
    </row>
    <row r="33" customFormat="false" ht="23.85" hidden="false" customHeight="false" outlineLevel="0" collapsed="false">
      <c r="A33" s="8" t="s">
        <v>190</v>
      </c>
      <c r="B33" s="9" t="s">
        <v>186</v>
      </c>
      <c r="C33" s="9" t="s">
        <v>191</v>
      </c>
      <c r="D33" s="9" t="s">
        <v>186</v>
      </c>
      <c r="E33" s="9" t="n">
        <v>1</v>
      </c>
      <c r="F33" s="9" t="s">
        <v>192</v>
      </c>
      <c r="G33" s="9" t="s">
        <v>193</v>
      </c>
      <c r="H33" s="9"/>
    </row>
  </sheetData>
  <autoFilter ref="A1:H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0"/>
    <col collapsed="false" customWidth="true" hidden="false" outlineLevel="0" max="3" min="3" style="0" width="60"/>
    <col collapsed="false" customWidth="true" hidden="false" outlineLevel="0" max="4" min="4" style="0" width="35"/>
    <col collapsed="false" customWidth="true" hidden="false" outlineLevel="0" max="6" min="5" style="0" width="12"/>
    <col collapsed="false" customWidth="true" hidden="false" outlineLevel="0" max="7" min="7" style="0" width="35"/>
  </cols>
  <sheetData>
    <row r="1" customFormat="false" ht="17.35" hidden="false" customHeight="false" outlineLevel="0" collapsed="false">
      <c r="A1" s="10" t="s">
        <v>194</v>
      </c>
    </row>
    <row r="2" customFormat="false" ht="15" hidden="false" customHeight="false" outlineLevel="0" collapsed="false">
      <c r="A2" s="11" t="s">
        <v>195</v>
      </c>
    </row>
    <row r="3" customFormat="false" ht="15" hidden="false" customHeight="false" outlineLevel="0" collapsed="false">
      <c r="B3" s="12" t="s">
        <v>196</v>
      </c>
      <c r="C3" s="13" t="n">
        <f aca="false">COUNT(E7:E38)</f>
        <v>0</v>
      </c>
      <c r="D3" s="12" t="s">
        <v>197</v>
      </c>
      <c r="E3" s="14" t="n">
        <f aca="false">IF(COUNTA(F7:F38)=0,0,COUNTIF(F7:F38,"Y")/COUNTA(F7:F38))</f>
        <v>0</v>
      </c>
    </row>
    <row r="4" customFormat="false" ht="15" hidden="false" customHeight="false" outlineLevel="0" collapsed="false">
      <c r="B4" s="12" t="s">
        <v>198</v>
      </c>
      <c r="C4" s="14" t="n">
        <f aca="false">IF(COUNT(E7:E38)=0,0,SUM(E7:E38)/COUNT(E7:E38))</f>
        <v>0</v>
      </c>
    </row>
    <row r="6" customFormat="false" ht="23.85" hidden="false" customHeight="false" outlineLevel="0" collapsed="false">
      <c r="A6" s="5" t="s">
        <v>18</v>
      </c>
      <c r="B6" s="5" t="s">
        <v>20</v>
      </c>
      <c r="C6" s="5" t="s">
        <v>199</v>
      </c>
      <c r="D6" s="5" t="s">
        <v>200</v>
      </c>
      <c r="E6" s="5" t="s">
        <v>201</v>
      </c>
      <c r="F6" s="5" t="s">
        <v>202</v>
      </c>
      <c r="G6" s="5" t="s">
        <v>203</v>
      </c>
    </row>
    <row r="7" customFormat="false" ht="23.85" hidden="false" customHeight="false" outlineLevel="0" collapsed="false">
      <c r="A7" s="9" t="str">
        <f aca="false">'Question set'!A2</f>
        <v>Q01</v>
      </c>
      <c r="B7" s="9" t="str">
        <f aca="false">'Question set'!C2</f>
        <v>Under the German Money Laundering Act, in which situations must a bank carry out customer due diligence?</v>
      </c>
      <c r="C7" s="15"/>
      <c r="D7" s="15"/>
      <c r="E7" s="15"/>
      <c r="F7" s="15"/>
      <c r="G7" s="15"/>
    </row>
    <row r="8" customFormat="false" ht="23.85" hidden="false" customHeight="false" outlineLevel="0" collapsed="false">
      <c r="A8" s="9" t="str">
        <f aca="false">'Question set'!A3</f>
        <v>Q02</v>
      </c>
      <c r="B8" s="9" t="str">
        <f aca="false">'Question set'!C3</f>
        <v>When is a natural person considered the beneficial owner of a company under the GwG?</v>
      </c>
      <c r="C8" s="15"/>
      <c r="D8" s="15"/>
      <c r="E8" s="15"/>
      <c r="F8" s="15"/>
      <c r="G8" s="15"/>
    </row>
    <row r="9" customFormat="false" ht="23.85" hidden="false" customHeight="false" outlineLevel="0" collapsed="false">
      <c r="A9" s="9" t="str">
        <f aca="false">'Question set'!A4</f>
        <v>Q03</v>
      </c>
      <c r="B9" s="9" t="str">
        <f aca="false">'Question set'!C4</f>
        <v>How long must a bank retain the records it collects under its due diligence obligations?</v>
      </c>
      <c r="C9" s="15"/>
      <c r="D9" s="15"/>
      <c r="E9" s="15"/>
      <c r="F9" s="15"/>
      <c r="G9" s="15"/>
    </row>
    <row r="10" customFormat="false" ht="35.05" hidden="false" customHeight="false" outlineLevel="0" collapsed="false">
      <c r="A10" s="9" t="str">
        <f aca="false">'Question set'!A5</f>
        <v>Q04</v>
      </c>
      <c r="B10" s="9" t="str">
        <f aca="false">'Question set'!C5</f>
        <v>A bank employee suspects that a customer payment is linked to money laundering. To whom must the bank report, and how quickly?</v>
      </c>
      <c r="C10" s="15"/>
      <c r="D10" s="15"/>
      <c r="E10" s="15"/>
      <c r="F10" s="15"/>
      <c r="G10" s="15"/>
    </row>
    <row r="11" customFormat="false" ht="23.85" hidden="false" customHeight="false" outlineLevel="0" collapsed="false">
      <c r="A11" s="9" t="str">
        <f aca="false">'Question set'!A6</f>
        <v>Q05</v>
      </c>
      <c r="B11" s="9" t="str">
        <f aca="false">'Question set'!C6</f>
        <v>After filing a suspicious activity report, may the bank execute the reported transaction straight away?</v>
      </c>
      <c r="C11" s="15"/>
      <c r="D11" s="15"/>
      <c r="E11" s="15"/>
      <c r="F11" s="15"/>
      <c r="G11" s="15"/>
    </row>
    <row r="12" customFormat="false" ht="23.85" hidden="false" customHeight="false" outlineLevel="0" collapsed="false">
      <c r="A12" s="9" t="str">
        <f aca="false">'Question set'!A7</f>
        <v>Q06</v>
      </c>
      <c r="B12" s="9" t="str">
        <f aca="false">'Question set'!C7</f>
        <v>May a bank tell its customer that it has filed a suspicious activity report about them?</v>
      </c>
      <c r="C12" s="15"/>
      <c r="D12" s="15"/>
      <c r="E12" s="15"/>
      <c r="F12" s="15"/>
      <c r="G12" s="15"/>
    </row>
    <row r="13" customFormat="false" ht="23.85" hidden="false" customHeight="false" outlineLevel="0" collapsed="false">
      <c r="A13" s="9" t="str">
        <f aca="false">'Question set'!A8</f>
        <v>Q07</v>
      </c>
      <c r="B13" s="9" t="str">
        <f aca="false">'Question set'!C8</f>
        <v>Which enhanced due diligence measures apply when the customer is a politically exposed person (PEP)?</v>
      </c>
      <c r="C13" s="15"/>
      <c r="D13" s="15"/>
      <c r="E13" s="15"/>
      <c r="F13" s="15"/>
      <c r="G13" s="15"/>
    </row>
    <row r="14" customFormat="false" ht="23.85" hidden="false" customHeight="false" outlineLevel="0" collapsed="false">
      <c r="A14" s="9" t="str">
        <f aca="false">'Question set'!A9</f>
        <v>Q08</v>
      </c>
      <c r="B14" s="9" t="str">
        <f aca="false">'Question set'!C9</f>
        <v>Which document determines whether a country is a high-risk third country, and what does that mean for a German bank?</v>
      </c>
      <c r="C14" s="15"/>
      <c r="D14" s="15"/>
      <c r="E14" s="15"/>
      <c r="F14" s="15"/>
      <c r="G14" s="15"/>
    </row>
    <row r="15" customFormat="false" ht="23.85" hidden="false" customHeight="false" outlineLevel="0" collapsed="false">
      <c r="A15" s="9" t="str">
        <f aca="false">'Question set'!A10</f>
        <v>Q09</v>
      </c>
      <c r="B15" s="9" t="str">
        <f aca="false">'Question set'!C10</f>
        <v>Who in a bank must be responsible for AML/CFT, and at which level?</v>
      </c>
      <c r="C15" s="15"/>
      <c r="D15" s="15"/>
      <c r="E15" s="15"/>
      <c r="F15" s="15"/>
      <c r="G15" s="15"/>
    </row>
    <row r="16" customFormat="false" ht="23.85" hidden="false" customHeight="false" outlineLevel="0" collapsed="false">
      <c r="A16" s="9" t="str">
        <f aca="false">'Question set'!A11</f>
        <v>Q10</v>
      </c>
      <c r="B16" s="9" t="str">
        <f aca="false">'Question set'!C11</f>
        <v>What must a bank do before it starts using a remote customer onboarding solution?</v>
      </c>
      <c r="C16" s="15"/>
      <c r="D16" s="15"/>
      <c r="E16" s="15"/>
      <c r="F16" s="15"/>
      <c r="G16" s="15"/>
    </row>
    <row r="17" customFormat="false" ht="23.85" hidden="false" customHeight="false" outlineLevel="0" collapsed="false">
      <c r="A17" s="9" t="str">
        <f aca="false">'Question set'!A12</f>
        <v>Q11</v>
      </c>
      <c r="B17" s="9" t="str">
        <f aca="false">'Question set'!C12</f>
        <v>Which information about the payer and the payee must accompany a transfer of funds?</v>
      </c>
      <c r="C17" s="15"/>
      <c r="D17" s="15"/>
      <c r="E17" s="15"/>
      <c r="F17" s="15"/>
      <c r="G17" s="15"/>
    </row>
    <row r="18" customFormat="false" ht="35.05" hidden="false" customHeight="false" outlineLevel="0" collapsed="false">
      <c r="A18" s="9" t="str">
        <f aca="false">'Question set'!A13</f>
        <v>Q12</v>
      </c>
      <c r="B18" s="9" t="str">
        <f aca="false">'Question set'!C13</f>
        <v>What does an asset freeze under the EU Russia/Ukraine sanctions mean for a bank holding an account of a listed person?</v>
      </c>
      <c r="C18" s="15"/>
      <c r="D18" s="15"/>
      <c r="E18" s="15"/>
      <c r="F18" s="15"/>
      <c r="G18" s="15"/>
    </row>
    <row r="19" customFormat="false" ht="23.85" hidden="false" customHeight="false" outlineLevel="0" collapsed="false">
      <c r="A19" s="9" t="str">
        <f aca="false">'Question set'!A14</f>
        <v>Q13</v>
      </c>
      <c r="B19" s="9" t="str">
        <f aca="false">'Question set'!C14</f>
        <v>A company is 60% owned by a sanctioned person but is not listed itself. May the bank pay out funds to the company?</v>
      </c>
      <c r="C19" s="15"/>
      <c r="D19" s="15"/>
      <c r="E19" s="15"/>
      <c r="F19" s="15"/>
      <c r="G19" s="15"/>
    </row>
    <row r="20" customFormat="false" ht="23.85" hidden="false" customHeight="false" outlineLevel="0" collapsed="false">
      <c r="A20" s="9" t="str">
        <f aca="false">'Question set'!A15</f>
        <v>Q14</v>
      </c>
      <c r="B20" s="9" t="str">
        <f aca="false">'Question set'!C15</f>
        <v>May a German bank accept new deposits from a Russian national living in Moscow?</v>
      </c>
      <c r="C20" s="15"/>
      <c r="D20" s="15"/>
      <c r="E20" s="15"/>
      <c r="F20" s="15"/>
      <c r="G20" s="15"/>
    </row>
    <row r="21" customFormat="false" ht="23.85" hidden="false" customHeight="false" outlineLevel="0" collapsed="false">
      <c r="A21" s="9" t="str">
        <f aca="false">'Question set'!A16</f>
        <v>Q15</v>
      </c>
      <c r="B21" s="9" t="str">
        <f aca="false">'Question set'!C16</f>
        <v>Which authority is responsible for financial sanctions in Germany, and what must a bank report to it?</v>
      </c>
      <c r="C21" s="15"/>
      <c r="D21" s="15"/>
      <c r="E21" s="15"/>
      <c r="F21" s="15"/>
      <c r="G21" s="15"/>
    </row>
    <row r="22" customFormat="false" ht="23.85" hidden="false" customHeight="false" outlineLevel="0" collapsed="false">
      <c r="A22" s="9" t="str">
        <f aca="false">'Question set'!A17</f>
        <v>Q16</v>
      </c>
      <c r="B22" s="9" t="str">
        <f aca="false">'Question set'!C17</f>
        <v>Which payments with foreign counterparties must be reported to the Deutsche Bundesbank?</v>
      </c>
      <c r="C22" s="15"/>
      <c r="D22" s="15"/>
      <c r="E22" s="15"/>
      <c r="F22" s="15"/>
      <c r="G22" s="15"/>
    </row>
    <row r="23" customFormat="false" ht="23.85" hidden="false" customHeight="false" outlineLevel="0" collapsed="false">
      <c r="A23" s="9" t="str">
        <f aca="false">'Question set'!A18</f>
        <v>Q17</v>
      </c>
      <c r="B23" s="9" t="str">
        <f aca="false">'Question set'!C18</f>
        <v>What do the EBA guidelines on restrictive measures require from banks, and since when do they apply?</v>
      </c>
      <c r="C23" s="15"/>
      <c r="D23" s="15"/>
      <c r="E23" s="15"/>
      <c r="F23" s="15"/>
      <c r="G23" s="15"/>
    </row>
    <row r="24" customFormat="false" ht="23.85" hidden="false" customHeight="false" outlineLevel="0" collapsed="false">
      <c r="A24" s="9" t="str">
        <f aca="false">'Question set'!A19</f>
        <v>Q18</v>
      </c>
      <c r="B24" s="9" t="str">
        <f aca="false">'Question set'!C19</f>
        <v>On which legal provision is MaRisk based, and does it apply equally to all banks?</v>
      </c>
      <c r="C24" s="15"/>
      <c r="D24" s="15"/>
      <c r="E24" s="15"/>
      <c r="F24" s="15"/>
      <c r="G24" s="15"/>
    </row>
    <row r="25" customFormat="false" ht="15" hidden="false" customHeight="false" outlineLevel="0" collapsed="false">
      <c r="A25" s="9" t="str">
        <f aca="false">'Question set'!A20</f>
        <v>Q19</v>
      </c>
      <c r="B25" s="9" t="str">
        <f aca="false">'Question set'!C20</f>
        <v>What are the tasks of the compliance function under MaRisk?</v>
      </c>
      <c r="C25" s="15"/>
      <c r="D25" s="15"/>
      <c r="E25" s="15"/>
      <c r="F25" s="15"/>
      <c r="G25" s="15"/>
    </row>
    <row r="26" customFormat="false" ht="23.85" hidden="false" customHeight="false" outlineLevel="0" collapsed="false">
      <c r="A26" s="9" t="str">
        <f aca="false">'Question set'!A21</f>
        <v>Q20</v>
      </c>
      <c r="B26" s="9" t="str">
        <f aca="false">'Question set'!C21</f>
        <v>Which provision obliges banks to operate IT systems that detect suspicious transactions?</v>
      </c>
      <c r="C26" s="15"/>
      <c r="D26" s="15"/>
      <c r="E26" s="15"/>
      <c r="F26" s="15"/>
      <c r="G26" s="15"/>
    </row>
    <row r="27" customFormat="false" ht="23.85" hidden="false" customHeight="false" outlineLevel="0" collapsed="false">
      <c r="A27" s="9" t="str">
        <f aca="false">'Question set'!A22</f>
        <v>Q21</v>
      </c>
      <c r="B27" s="9" t="str">
        <f aca="false">'Question set'!C22</f>
        <v>A small bank has 30 employees. Does it have to set up an internal whistleblowing channel?</v>
      </c>
      <c r="C27" s="15"/>
      <c r="D27" s="15"/>
      <c r="E27" s="15"/>
      <c r="F27" s="15"/>
      <c r="G27" s="15"/>
    </row>
    <row r="28" customFormat="false" ht="23.85" hidden="false" customHeight="false" outlineLevel="0" collapsed="false">
      <c r="A28" s="9" t="str">
        <f aca="false">'Question set'!A23</f>
        <v>Q22</v>
      </c>
      <c r="B28" s="9" t="str">
        <f aca="false">'Question set'!C23</f>
        <v>Within what time frame must a bank notify a personal data breach to the supervisory authority?</v>
      </c>
      <c r="C28" s="15"/>
      <c r="D28" s="15"/>
      <c r="E28" s="15"/>
      <c r="F28" s="15"/>
      <c r="G28" s="15"/>
    </row>
    <row r="29" customFormat="false" ht="23.85" hidden="false" customHeight="false" outlineLevel="0" collapsed="false">
      <c r="A29" s="9" t="str">
        <f aca="false">'Question set'!A24</f>
        <v>Q23</v>
      </c>
      <c r="B29" s="9" t="str">
        <f aca="false">'Question set'!C24</f>
        <v>Since when does DORA apply, and is a German savings bank in scope?</v>
      </c>
      <c r="C29" s="15"/>
      <c r="D29" s="15"/>
      <c r="E29" s="15"/>
      <c r="F29" s="15"/>
      <c r="G29" s="15"/>
    </row>
    <row r="30" customFormat="false" ht="23.85" hidden="false" customHeight="false" outlineLevel="0" collapsed="false">
      <c r="A30" s="9" t="str">
        <f aca="false">'Question set'!A25</f>
        <v>Q24</v>
      </c>
      <c r="B30" s="9" t="str">
        <f aca="false">'Question set'!C25</f>
        <v>What are the deadlines for reporting a major ICT-related incident?</v>
      </c>
      <c r="C30" s="15"/>
      <c r="D30" s="15"/>
      <c r="E30" s="15"/>
      <c r="F30" s="15"/>
      <c r="G30" s="15"/>
    </row>
    <row r="31" customFormat="false" ht="23.85" hidden="false" customHeight="false" outlineLevel="0" collapsed="false">
      <c r="A31" s="9" t="str">
        <f aca="false">'Question set'!A26</f>
        <v>Q25</v>
      </c>
      <c r="B31" s="9" t="str">
        <f aca="false">'Question set'!C26</f>
        <v>Can a mid-sized German credit institution use the simplified ICT risk management framework under Article 16 DORA?</v>
      </c>
      <c r="C31" s="15"/>
      <c r="D31" s="15"/>
      <c r="E31" s="15"/>
      <c r="F31" s="15"/>
      <c r="G31" s="15"/>
    </row>
    <row r="32" customFormat="false" ht="23.85" hidden="false" customHeight="false" outlineLevel="0" collapsed="false">
      <c r="A32" s="9" t="str">
        <f aca="false">'Question set'!A27</f>
        <v>Q26</v>
      </c>
      <c r="B32" s="9" t="str">
        <f aca="false">'Question set'!C27</f>
        <v>Which key contractual provisions must a contract with an ICT third-party provider contain under DORA?</v>
      </c>
      <c r="C32" s="15"/>
      <c r="D32" s="15"/>
      <c r="E32" s="15"/>
      <c r="F32" s="15"/>
      <c r="G32" s="15"/>
    </row>
    <row r="33" customFormat="false" ht="23.85" hidden="false" customHeight="false" outlineLevel="0" collapsed="false">
      <c r="A33" s="9" t="str">
        <f aca="false">'Question set'!A28</f>
        <v>Q27</v>
      </c>
      <c r="B33" s="9" t="str">
        <f aca="false">'Question set'!C28</f>
        <v>What is the difference between the suitability test, the appropriateness test and execution-only?</v>
      </c>
      <c r="C33" s="15"/>
      <c r="D33" s="15"/>
      <c r="E33" s="15"/>
      <c r="F33" s="15"/>
      <c r="G33" s="15"/>
    </row>
    <row r="34" customFormat="false" ht="23.85" hidden="false" customHeight="false" outlineLevel="0" collapsed="false">
      <c r="A34" s="9" t="str">
        <f aca="false">'Question set'!A29</f>
        <v>Q28</v>
      </c>
      <c r="B34" s="9" t="str">
        <f aca="false">'Question set'!C29</f>
        <v>Must a bank record telephone calls with clients about securities orders, and how long must it keep the recordings?</v>
      </c>
      <c r="C34" s="15"/>
      <c r="D34" s="15"/>
      <c r="E34" s="15"/>
      <c r="F34" s="15"/>
      <c r="G34" s="15"/>
    </row>
    <row r="35" customFormat="false" ht="23.85" hidden="false" customHeight="false" outlineLevel="0" collapsed="false">
      <c r="A35" s="9" t="str">
        <f aca="false">'Question set'!A30</f>
        <v>Q29</v>
      </c>
      <c r="B35" s="9" t="str">
        <f aca="false">'Question set'!C30</f>
        <v>What is the difference between a suspicious activity report under the GwG and a STOR under MAR?</v>
      </c>
      <c r="C35" s="15"/>
      <c r="D35" s="15"/>
      <c r="E35" s="15"/>
      <c r="F35" s="15"/>
      <c r="G35" s="15"/>
    </row>
    <row r="36" customFormat="false" ht="23.85" hidden="false" customHeight="false" outlineLevel="0" collapsed="false">
      <c r="A36" s="9" t="str">
        <f aca="false">'Question set'!A31</f>
        <v>Q30</v>
      </c>
      <c r="B36" s="9" t="str">
        <f aca="false">'Question set'!C31</f>
        <v>A customer reports an unauthorised card payment. What must the bank do, and how far is the customer liable?</v>
      </c>
      <c r="C36" s="15"/>
      <c r="D36" s="15"/>
      <c r="E36" s="15"/>
      <c r="F36" s="15"/>
      <c r="G36" s="15"/>
    </row>
    <row r="37" customFormat="false" ht="15" hidden="false" customHeight="false" outlineLevel="0" collapsed="false">
      <c r="A37" s="9" t="str">
        <f aca="false">'Question set'!A32</f>
        <v>Q31</v>
      </c>
      <c r="B37" s="9" t="str">
        <f aca="false">'Question set'!C32</f>
        <v>What is the ECB's current deposit facility rate?</v>
      </c>
      <c r="C37" s="15"/>
      <c r="D37" s="15"/>
      <c r="E37" s="15"/>
      <c r="F37" s="15"/>
      <c r="G37" s="15"/>
    </row>
    <row r="38" customFormat="false" ht="23.85" hidden="false" customHeight="false" outlineLevel="0" collapsed="false">
      <c r="A38" s="9" t="str">
        <f aca="false">'Question set'!A33</f>
        <v>Q32</v>
      </c>
      <c r="B38" s="9" t="str">
        <f aca="false">'Question set'!C33</f>
        <v>What lending approval limits apply to branch managers at our bank?</v>
      </c>
      <c r="C38" s="15"/>
      <c r="D38" s="15"/>
      <c r="E38" s="15"/>
      <c r="F38" s="15"/>
      <c r="G38" s="15"/>
    </row>
  </sheetData>
  <dataValidations count="2">
    <dataValidation allowBlank="true" errorStyle="stop" operator="between" showDropDown="false" showErrorMessage="false" showInputMessage="false" sqref="E7:E38" type="list">
      <formula1>"1,0.5,0"</formula1>
      <formula2>0</formula2>
    </dataValidation>
    <dataValidation allowBlank="true" errorStyle="stop" operator="between" showDropDown="false" showErrorMessage="false" showInputMessage="false" sqref="F7:F38"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2026-10-07T18:22:26Z</dcterms:created>
  <dc:creator>openpyxl</dc:creator>
  <dc:description/>
  <dc:language>en-US</dc:language>
  <cp:lastModifiedBy/>
  <dcterms:modified xsi:type="dcterms:W3CDTF">2026-10-07T18:22:26Z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